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f2b27059d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af8aa23b1dc4f5e"/>
    <x:sheet xmlns:r="http://schemas.openxmlformats.org/officeDocument/2006/relationships" name="项目参数" sheetId="2" r:id="R111816ca63294fe7"/>
    <x:sheet xmlns:r="http://schemas.openxmlformats.org/officeDocument/2006/relationships" name="方法与数据状态" sheetId="3" r:id="R3db393f628a741ef"/>
    <x:sheet xmlns:r="http://schemas.openxmlformats.org/officeDocument/2006/relationships" name="Vocuer历史基线" sheetId="4" r:id="R10d9e9d720864e23"/>
    <x:sheet xmlns:r="http://schemas.openxmlformats.org/officeDocument/2006/relationships" name="商品库导入" sheetId="5" r:id="R5b042f0c9d654e42"/>
    <x:sheet xmlns:r="http://schemas.openxmlformats.org/officeDocument/2006/relationships" name="关键词导入" sheetId="6" r:id="Rf303c3c8b96144a1"/>
    <x:sheet xmlns:r="http://schemas.openxmlformats.org/officeDocument/2006/relationships" name="ABA历史" sheetId="7" r:id="R6f6a3e1ce6024621"/>
    <x:sheet xmlns:r="http://schemas.openxmlformats.org/officeDocument/2006/relationships" name="多平台社媒" sheetId="8" r:id="Rb75e5715d08a467c"/>
    <x:sheet xmlns:r="http://schemas.openxmlformats.org/officeDocument/2006/relationships" name="同行店铺" sheetId="9" r:id="R88f6f2a9dbe7452b"/>
    <x:sheet xmlns:r="http://schemas.openxmlformats.org/officeDocument/2006/relationships" name="供应链成本" sheetId="10" r:id="R7bf1e7d421644c5c"/>
    <x:sheet xmlns:r="http://schemas.openxmlformats.org/officeDocument/2006/relationships" name="利润模型" sheetId="11" r:id="R0d1426428d01410a"/>
    <x:sheet xmlns:r="http://schemas.openxmlformats.org/officeDocument/2006/relationships" name="候选总表" sheetId="12" r:id="R29391fcca46e458e"/>
    <x:sheet xmlns:r="http://schemas.openxmlformats.org/officeDocument/2006/relationships" name="淘汰清单" sheetId="13" r:id="Rcff0d905e08a416c"/>
    <x:sheet xmlns:r="http://schemas.openxmlformats.org/officeDocument/2006/relationships" name="女包字典" sheetId="14" r:id="R7a4b635fa1ff4cf2"/>
    <x:sheet xmlns:r="http://schemas.openxmlformats.org/officeDocument/2006/relationships" name="测品与退出" sheetId="15" r:id="Raa44fede16814425"/>
    <x:sheet xmlns:r="http://schemas.openxmlformats.org/officeDocument/2006/relationships" name="安全边界" sheetId="16" r:id="R61fe81571c6b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.00"/>
    <x:numFmt numFmtId="201" formatCode="0.0%"/>
    <x:numFmt numFmtId="202" formatCode="@"/>
    <x:numFmt numFmtId="203" formatCode="0"/>
  </x:numFmts>
  <x:fonts count="6">
    <x:font>
      <x:sz val="11"/>
      <x:name val="Carlito"/>
    </x:font>
    <x:font>
      <x:b/>
      <x:sz val="16"/>
      <x:color rgb="FFFFFFFF"/>
      <x:name val="Aptos"/>
    </x:font>
    <x:font>
      <x:b/>
      <x:sz val="11"/>
      <x:name val="Aptos"/>
    </x:font>
    <x:font>
      <x:b/>
      <x:sz val="10"/>
      <x:color rgb="FF1F1F1F"/>
      <x:name val="Aptos"/>
    </x:font>
    <x:font>
      <x:sz val="10"/>
      <x:color rgb="FF1F1F1F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8E1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7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0" fontId="3" fillId="3" borderId="2" xfId="0" applyNumberFormat="1" applyFont="1" applyFill="1" applyBorder="1"/>
    <x:xf numFmtId="0" fontId="4" fillId="0" borderId="2" xfId="0" applyNumberFormat="1" applyFont="1" applyFill="1" applyBorder="1"/>
    <x:xf numFmtId="0" fontId="3" fillId="3" borderId="3" xfId="0" applyNumberFormat="1" applyFont="1" applyFill="1" applyBorder="1"/>
    <x:xf numFmtId="0" fontId="4" fillId="0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201" fontId="4" fillId="5" borderId="3" xfId="0" applyNumberFormat="1" applyFont="1" applyFill="1" applyBorder="1" applyAlignment="1">
      <x:alignment vertical="top" wrapText="1"/>
    </x:xf>
    <x:xf numFmtId="200" fontId="4" fillId="3" borderId="1" xfId="0" applyNumberFormat="1" applyFont="1" applyFill="1" applyBorder="1" applyAlignment="1">
      <x:alignment vertical="top" wrapText="1"/>
    </x:xf>
    <x:xf numFmtId="200" fontId="4" fillId="3" borderId="2" xfId="0" applyNumberFormat="1" applyFont="1" applyFill="1" applyBorder="1" applyAlignment="1">
      <x:alignment vertical="top" wrapText="1"/>
    </x:xf>
    <x:xf numFmtId="200" fontId="4" fillId="3" borderId="3" xfId="0" applyNumberFormat="1" applyFont="1" applyFill="1" applyBorder="1" applyAlignment="1">
      <x:alignment vertical="top" wrapText="1"/>
    </x:xf>
    <x:xf numFmtId="201" fontId="4" fillId="3" borderId="1" xfId="0" applyNumberFormat="1" applyFont="1" applyFill="1" applyBorder="1" applyAlignment="1">
      <x:alignment vertical="top" wrapText="1"/>
    </x:xf>
    <x:xf numFmtId="201" fontId="4" fillId="3" borderId="2" xfId="0" applyNumberFormat="1" applyFont="1" applyFill="1" applyBorder="1" applyAlignment="1">
      <x:alignment vertical="top" wrapText="1"/>
    </x:xf>
    <x:xf numFmtId="201" fontId="4" fillId="3" borderId="3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202" fontId="4" fillId="0" borderId="2" xfId="0" applyNumberFormat="1" applyFont="1" applyFill="1" applyBorder="1"/>
    <x:xf numFmtId="203" fontId="4" fillId="0" borderId="2" xfId="0" applyNumberFormat="1" applyFont="1" applyFill="1" applyBorder="1"/>
    <x:xf numFmtId="202" fontId="4" fillId="0" borderId="3" xfId="0" applyNumberFormat="1" applyFont="1" applyFill="1" applyBorder="1"/>
    <x:xf numFmtId="203" fontId="4" fillId="0" borderId="3" xfId="0" applyNumberFormat="1" applyFont="1" applyFill="1" applyBorder="1"/>
    <x:xf numFmtId="202" fontId="4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202" fontId="4" fillId="0" borderId="2" xfId="0" applyNumberFormat="1" applyFont="1" applyFill="1" applyBorder="1" applyAlignment="1">
      <x:alignment wrapText="1"/>
    </x:xf>
    <x:xf numFmtId="203" fontId="4" fillId="0" borderId="2" xfId="0" applyNumberFormat="1" applyFont="1" applyFill="1" applyBorder="1" applyAlignment="1">
      <x:alignment wrapText="1"/>
    </x:xf>
    <x:xf numFmtId="202" fontId="4" fillId="0" borderId="3" xfId="0" applyNumberFormat="1" applyFont="1" applyFill="1" applyBorder="1" applyAlignment="1">
      <x:alignment wrapText="1"/>
    </x:xf>
    <x:xf numFmtId="203" fontId="4" fillId="0" borderId="3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3" fontId="4" fillId="5" borderId="1" xfId="0" applyNumberFormat="1" applyFont="1" applyFill="1" applyBorder="1" applyAlignment="1">
      <x:alignment vertical="top" wrapText="1"/>
    </x:xf>
    <x:xf numFmtId="202" fontId="4" fillId="5" borderId="2" xfId="0" applyNumberFormat="1" applyFont="1" applyFill="1" applyBorder="1" applyAlignment="1">
      <x:alignment vertical="top" wrapText="1"/>
    </x:xf>
    <x:xf numFmtId="203" fontId="4" fillId="5" borderId="2" xfId="0" applyNumberFormat="1" applyFont="1" applyFill="1" applyBorder="1" applyAlignment="1">
      <x:alignment vertical="top" wrapText="1"/>
    </x:xf>
    <x:xf numFmtId="202" fontId="4" fillId="5" borderId="3" xfId="0" applyNumberFormat="1" applyFont="1" applyFill="1" applyBorder="1" applyAlignment="1">
      <x:alignment vertical="top" wrapText="1"/>
    </x:xf>
    <x:xf numFmtId="203" fontId="4" fillId="5" borderId="3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3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07a6034b04f55" /><Relationship Type="http://schemas.openxmlformats.org/officeDocument/2006/relationships/theme" Target="/xl/theme/theme1.xml" Id="R4757ee8526d64c67" /><Relationship Type="http://schemas.openxmlformats.org/officeDocument/2006/relationships/sharedStrings" Target="/xl/sharedStrings.xml" Id="R27619fde720c4f2d" /><Relationship Type="http://schemas.openxmlformats.org/officeDocument/2006/relationships/worksheet" Target="/xl/worksheets/sheet1.xml" Id="Rbaf8aa23b1dc4f5e" /><Relationship Type="http://schemas.openxmlformats.org/officeDocument/2006/relationships/worksheet" Target="/xl/worksheets/sheet2.xml" Id="R111816ca63294fe7" /><Relationship Type="http://schemas.openxmlformats.org/officeDocument/2006/relationships/worksheet" Target="/xl/worksheets/sheet3.xml" Id="R3db393f628a741ef" /><Relationship Type="http://schemas.openxmlformats.org/officeDocument/2006/relationships/worksheet" Target="/xl/worksheets/sheet4.xml" Id="R10d9e9d720864e23" /><Relationship Type="http://schemas.openxmlformats.org/officeDocument/2006/relationships/worksheet" Target="/xl/worksheets/sheet5.xml" Id="R5b042f0c9d654e42" /><Relationship Type="http://schemas.openxmlformats.org/officeDocument/2006/relationships/worksheet" Target="/xl/worksheets/sheet6.xml" Id="Rf303c3c8b96144a1" /><Relationship Type="http://schemas.openxmlformats.org/officeDocument/2006/relationships/worksheet" Target="/xl/worksheets/sheet7.xml" Id="R6f6a3e1ce6024621" /><Relationship Type="http://schemas.openxmlformats.org/officeDocument/2006/relationships/worksheet" Target="/xl/worksheets/sheet8.xml" Id="Rb75e5715d08a467c" /><Relationship Type="http://schemas.openxmlformats.org/officeDocument/2006/relationships/worksheet" Target="/xl/worksheets/sheet9.xml" Id="R88f6f2a9dbe7452b" /><Relationship Type="http://schemas.openxmlformats.org/officeDocument/2006/relationships/worksheet" Target="/xl/worksheets/sheet10.xml" Id="R7bf1e7d421644c5c" /><Relationship Type="http://schemas.openxmlformats.org/officeDocument/2006/relationships/worksheet" Target="/xl/worksheets/sheet11.xml" Id="R0d1426428d01410a" /><Relationship Type="http://schemas.openxmlformats.org/officeDocument/2006/relationships/worksheet" Target="/xl/worksheets/sheet12.xml" Id="R29391fcca46e458e" /><Relationship Type="http://schemas.openxmlformats.org/officeDocument/2006/relationships/worksheet" Target="/xl/worksheets/sheet13.xml" Id="Rcff0d905e08a416c" /><Relationship Type="http://schemas.openxmlformats.org/officeDocument/2006/relationships/worksheet" Target="/xl/worksheets/sheet14.xml" Id="R7a4b635fa1ff4cf2" /><Relationship Type="http://schemas.openxmlformats.org/officeDocument/2006/relationships/worksheet" Target="/xl/worksheets/sheet15.xml" Id="Raa44fede16814425" /><Relationship Type="http://schemas.openxmlformats.org/officeDocument/2006/relationships/worksheet" Target="/xl/worksheets/sheet16.xml" Id="R61fe81571c6b4d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</x:cols>
  <x:sheetData>
    <x:row r="1" ht="31" customHeight="1">
      <x:c r="A1" s="4" t="str">
        <x:v>精铺女包选品系统｜标准输入模板</x:v>
      </x:c>
      <x:c r="B1" s="4"/>
      <x:c r="C1" s="4"/>
      <x:c r="D1" s="4"/>
      <x:c r="E1" s="4"/>
      <x:c r="F1" s="4"/>
    </x:row>
    <x:row r="3">
      <x:c r="A3" s="21" t="str">
        <x:v>固定流程</x:v>
      </x:c>
      <x:c r="B3" s="22" t="str">
        <x:v>七种方法独立发现 → 产品结构去重 → 类目市场闸门 → 六道产品门槛 → 分池 → 小批测品</x:v>
      </x:c>
    </x:row>
    <x:row r="4">
      <x:c r="A4" s="23" t="str">
        <x:v>状态原则</x:v>
      </x:c>
      <x:c r="B4" s="24" t="str">
        <x:v>任一致命项不通过即淘汰；缺失数据不猜测；没有候选通过时交付0款</x:v>
      </x:c>
    </x:row>
    <x:row r="5">
      <x:c r="A5" s="23" t="str">
        <x:v>经营范围</x:v>
      </x:c>
      <x:c r="B5" s="24" t="str">
        <x:v>Amazon US广义时尚女包，默认售价$19.99–49.99</x:v>
      </x:c>
    </x:row>
    <x:row r="6">
      <x:c r="A6" s="23" t="str">
        <x:v>稳健款</x:v>
      </x:c>
      <x:c r="B6" s="24" t="str">
        <x:v>默认通过后首批约10件</x:v>
      </x:c>
    </x:row>
    <x:row r="7">
      <x:c r="A7" s="23" t="str">
        <x:v>趋势款</x:v>
      </x:c>
      <x:c r="B7" s="24" t="str">
        <x:v>默认通过后首批3–5件，并设置最晚入仓日</x:v>
      </x:c>
    </x:row>
    <x:row r="8">
      <x:c r="A8" s="23" t="str">
        <x:v>高利润长尾</x:v>
      </x:c>
      <x:c r="B8" s="24" t="str">
        <x:v>默认通过后首批2–3件</x:v>
      </x:c>
    </x:row>
    <x:row r="9">
      <x:c r="A9" s="23" t="str">
        <x:v>只读边界</x:v>
      </x:c>
      <x:c r="B9" s="24" t="str">
        <x:v>不采购、不创建Listing、不投广告、不发货</x:v>
      </x:c>
    </x:row>
    <x:row r="10">
      <x:c r="A10" s="23" t="str">
        <x:v>Amazon账号禁令</x:v>
      </x:c>
      <x:c r="B10" s="24" t="str">
        <x:v>严禁登录或操作卖家后台；严禁在用户浏览器登录或使用Amazon前台买家账号；只用离线导出和无登录态公开资料</x:v>
      </x:c>
    </x:row>
    <x:row r="11">
      <x:c r="A11" s="23" t="str">
        <x:v>黄色单元格</x:v>
      </x:c>
      <x:c r="B11" s="24" t="str">
        <x:v>用户输入或待补数据</x:v>
      </x:c>
    </x:row>
    <x:row r="12">
      <x:c r="A12" s="25" t="str">
        <x:v>数据日期</x:v>
      </x:c>
      <x:c r="B12" s="26" t="str">
        <x:v>填写实际导出或证据日期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4" hidden="0" customWidth="1"/>
    <x:col min="4" max="4" width="52" hidden="0" customWidth="1"/>
  </x:cols>
  <x:sheetData>
    <x:row r="1" ht="31" customHeight="1">
      <x:c r="A1" s="4" t="str">
        <x:v>项目参数</x:v>
      </x:c>
      <x:c r="B1" s="4"/>
      <x:c r="C1" s="4"/>
      <x:c r="D1" s="4"/>
    </x:row>
    <x:row r="2" ht="30" customHeight="1">
      <x:c r="A2" s="38" t="str">
        <x:v>参数</x:v>
      </x:c>
      <x:c r="B2" s="39" t="str">
        <x:v>值</x:v>
      </x:c>
      <x:c r="C2" s="39" t="str">
        <x:v>是否必填</x:v>
      </x:c>
      <x:c r="D2" s="40" t="str">
        <x:v>说明</x:v>
      </x:c>
    </x:row>
    <x:row r="3">
      <x:c r="A3" s="22" t="str">
        <x:v>marketplace</x:v>
      </x:c>
      <x:c r="B3" s="41" t="str">
        <x:v>US</x:v>
      </x:c>
      <x:c r="C3" s="22" t="str">
        <x:v>是</x:v>
      </x:c>
      <x:c r="D3" s="22" t="str">
        <x:v>目标Amazon站点</x:v>
      </x:c>
    </x:row>
    <x:row r="4">
      <x:c r="A4" s="24" t="str">
        <x:v>category_scope</x:v>
      </x:c>
      <x:c r="B4" s="42" t="str">
        <x:v>广义时尚女包</x:v>
      </x:c>
      <x:c r="C4" s="24" t="str">
        <x:v>是</x:v>
      </x:c>
      <x:c r="D4" s="24" t="str">
        <x:v>包含痛包、晚宴包和特色造型包</x:v>
      </x:c>
    </x:row>
    <x:row r="5">
      <x:c r="A5" s="24" t="str">
        <x:v>min_price</x:v>
      </x:c>
      <x:c r="B5" s="44" t="n">
        <x:v>19.99</x:v>
      </x:c>
      <x:c r="C5" s="24" t="str">
        <x:v>是</x:v>
      </x:c>
      <x:c r="D5" s="24" t="str">
        <x:v>发现参数，不是永久淘汰线</x:v>
      </x:c>
    </x:row>
    <x:row r="6">
      <x:c r="A6" s="24" t="str">
        <x:v>max_price</x:v>
      </x:c>
      <x:c r="B6" s="44" t="n">
        <x:v>49.99</x:v>
      </x:c>
      <x:c r="C6" s="24" t="str">
        <x:v>是</x:v>
      </x:c>
      <x:c r="D6" s="24" t="str">
        <x:v>发现参数</x:v>
      </x:c>
    </x:row>
    <x:row r="7">
      <x:c r="A7" s="24" t="str">
        <x:v>stable_test_qty</x:v>
      </x:c>
      <x:c r="B7" s="42" t="n">
        <x:v>10</x:v>
      </x:c>
      <x:c r="C7" s="24" t="str">
        <x:v>是</x:v>
      </x:c>
      <x:c r="D7" s="24" t="str">
        <x:v>六道门全部通过后</x:v>
      </x:c>
    </x:row>
    <x:row r="8">
      <x:c r="A8" s="24" t="str">
        <x:v>trend_test_qty</x:v>
      </x:c>
      <x:c r="B8" s="42" t="n">
        <x:v>4</x:v>
      </x:c>
      <x:c r="C8" s="24" t="str">
        <x:v>是</x:v>
      </x:c>
      <x:c r="D8" s="24" t="str">
        <x:v>默认3–5件</x:v>
      </x:c>
    </x:row>
    <x:row r="9">
      <x:c r="A9" s="24" t="str">
        <x:v>long_tail_test_qty</x:v>
      </x:c>
      <x:c r="B9" s="42" t="n">
        <x:v>3</x:v>
      </x:c>
      <x:c r="C9" s="24" t="str">
        <x:v>是</x:v>
      </x:c>
      <x:c r="D9" s="24" t="str">
        <x:v>默认2–3件</x:v>
      </x:c>
    </x:row>
    <x:row r="10">
      <x:c r="A10" s="24" t="str">
        <x:v>min_gross_margin</x:v>
      </x:c>
      <x:c r="B10" s="45" t="n">
        <x:v>0.3</x:v>
      </x:c>
      <x:c r="C10" s="24" t="str">
        <x:v>是</x:v>
      </x:c>
      <x:c r="D10" s="24" t="str">
        <x:v>课程参考警戒</x:v>
      </x:c>
    </x:row>
    <x:row r="11">
      <x:c r="A11" s="24" t="str">
        <x:v>target_gross_margin</x:v>
      </x:c>
      <x:c r="B11" s="45" t="n">
        <x:v>0.35</x:v>
      </x:c>
      <x:c r="C11" s="24" t="str">
        <x:v>否</x:v>
      </x:c>
      <x:c r="D11" s="24" t="str">
        <x:v>精铺建议起点</x:v>
      </x:c>
    </x:row>
    <x:row r="12">
      <x:c r="A12" s="26" t="str">
        <x:v>max_test_loss</x:v>
      </x:c>
      <x:c r="B12" s="43"/>
      <x:c r="C12" s="26" t="str">
        <x:v>是</x:v>
      </x:c>
      <x:c r="D12" s="26" t="str">
        <x:v>由用户填写可承受美元损失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37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1" customHeight="1">
      <x:c r="A1" s="4" t="str">
        <x:v>八种方法与数据状态</x:v>
      </x:c>
      <x:c r="B1" s="4"/>
      <x:c r="C1" s="4"/>
      <x:c r="D1" s="4"/>
      <x:c r="E1" s="4"/>
      <x:c r="F1" s="4"/>
    </x:row>
    <x:row r="2" ht="30" customHeight="1">
      <x:c r="A2" s="38" t="str">
        <x:v>方法</x:v>
      </x:c>
      <x:c r="B2" s="39" t="str">
        <x:v>职责</x:v>
      </x:c>
      <x:c r="C2" s="39" t="str">
        <x:v>Skill</x:v>
      </x:c>
      <x:c r="D2" s="39" t="str">
        <x:v>最低输入</x:v>
      </x:c>
      <x:c r="E2" s="39" t="str">
        <x:v>当前状态</x:v>
      </x:c>
      <x:c r="F2" s="40" t="str">
        <x:v>纪律</x:v>
      </x:c>
    </x:row>
    <x:row r="3">
      <x:c r="A3" s="22" t="str">
        <x:v>类目竞争环境调研</x:v>
      </x:c>
      <x:c r="B3" s="22" t="str">
        <x:v>市场闸门</x:v>
      </x:c>
      <x:c r="C3" s="22" t="str">
        <x:v>lc_amazon_market_research</x:v>
      </x:c>
      <x:c r="D3" s="22" t="str">
        <x:v>市场四表</x:v>
      </x:c>
      <x:c r="E3" s="22" t="str">
        <x:v>NEEDS DATA</x:v>
      </x:c>
      <x:c r="F3" s="22" t="str">
        <x:v>只对前1–3个重点市场运行</x:v>
      </x:c>
    </x:row>
    <x:row r="4">
      <x:c r="A4" s="24" t="str">
        <x:v>小众蓝海筛选</x:v>
      </x:c>
      <x:c r="B4" s="24" t="str">
        <x:v>细分市场排序</x:v>
      </x:c>
      <x:c r="C4" s="24" t="str">
        <x:v>amazon-blue-ocean-screening</x:v>
      </x:c>
      <x:c r="D4" s="24" t="str">
        <x:v>细分市场指标</x:v>
      </x:c>
      <x:c r="E4" s="24" t="str">
        <x:v>部分可运行</x:v>
      </x:c>
      <x:c r="F4" s="24" t="str">
        <x:v>现有方向可初排，致命项待补</x:v>
      </x:c>
    </x:row>
    <x:row r="5">
      <x:c r="A5" s="24" t="str">
        <x:v>多平台选品</x:v>
      </x:c>
      <x:c r="B5" s="24" t="str">
        <x:v>同市场需求迁移</x:v>
      </x:c>
      <x:c r="C5" s="24" t="str">
        <x:v>amazon-cross-platform-selection</x:v>
      </x:c>
      <x:c r="D5" s="24" t="str">
        <x:v>链接/销量/履约</x:v>
      </x:c>
      <x:c r="E5" s="24" t="str">
        <x:v>部分可运行</x:v>
      </x:c>
      <x:c r="F5" s="24" t="str">
        <x:v>公开证据可用，隐藏销量待补</x:v>
      </x:c>
    </x:row>
    <x:row r="6">
      <x:c r="A6" s="24" t="str">
        <x:v>ABA数据选品</x:v>
      </x:c>
      <x:c r="B6" s="24" t="str">
        <x:v>真新词和窗口</x:v>
      </x:c>
      <x:c r="C6" s="24" t="str">
        <x:v>amazon-aba-selection</x:v>
      </x:c>
      <x:c r="D6" s="24" t="str">
        <x:v>连续ABA历史</x:v>
      </x:c>
      <x:c r="E6" s="24" t="str">
        <x:v>NEEDS DATA</x:v>
      </x:c>
      <x:c r="F6" s="24" t="str">
        <x:v>单周数据不得判真新词</x:v>
      </x:c>
    </x:row>
    <x:row r="7">
      <x:c r="A7" s="24" t="str">
        <x:v>软件关键词选品</x:v>
      </x:c>
      <x:c r="B7" s="24" t="str">
        <x:v>流量经济性</x:v>
      </x:c>
      <x:c r="C7" s="24" t="str">
        <x:v>amazon-keyword-selection</x:v>
      </x:c>
      <x:c r="D7" s="24" t="str">
        <x:v>关键词数据库</x:v>
      </x:c>
      <x:c r="E7" s="24" t="str">
        <x:v>NEEDS DATA</x:v>
      </x:c>
      <x:c r="F7" s="24" t="str">
        <x:v>种子词不足</x:v>
      </x:c>
    </x:row>
    <x:row r="8">
      <x:c r="A8" s="24" t="str">
        <x:v>软件商品库选品</x:v>
      </x:c>
      <x:c r="B8" s="24" t="str">
        <x:v>具体ASIN发现</x:v>
      </x:c>
      <x:c r="C8" s="24" t="str">
        <x:v>amazon-software-product-selection</x:v>
      </x:c>
      <x:c r="D8" s="24" t="str">
        <x:v>商品库历史</x:v>
      </x:c>
      <x:c r="E8" s="24" t="str">
        <x:v>历史初筛</x:v>
      </x:c>
      <x:c r="F8" s="24" t="str">
        <x:v>2026-07-04快照需复查</x:v>
      </x:c>
    </x:row>
    <x:row r="9">
      <x:c r="A9" s="24" t="str">
        <x:v>社交媒体选品</x:v>
      </x:c>
      <x:c r="B9" s="24" t="str">
        <x:v>趋势和痛点</x:v>
      </x:c>
      <x:c r="C9" s="24" t="str">
        <x:v>amazon-social-media-selection</x:v>
      </x:c>
      <x:c r="D9" s="24" t="str">
        <x:v>独立创作者时间线</x:v>
      </x:c>
      <x:c r="E9" s="24" t="str">
        <x:v>部分可运行</x:v>
      </x:c>
      <x:c r="F9" s="24" t="str">
        <x:v>Reddit公开证据已使用</x:v>
      </x:c>
    </x:row>
    <x:row r="10">
      <x:c r="A10" s="26" t="str">
        <x:v>同行店铺反推</x:v>
      </x:c>
      <x:c r="B10" s="26" t="str">
        <x:v>重复成功模式</x:v>
      </x:c>
      <x:c r="C10" s="26" t="str">
        <x:v>amazon-competitor-store-selection</x:v>
      </x:c>
      <x:c r="D10" s="26" t="str">
        <x:v>3–5个Storefront</x:v>
      </x:c>
      <x:c r="E10" s="26" t="str">
        <x:v>NEEDS DATA</x:v>
      </x:c>
      <x:c r="F10" s="26" t="str">
        <x:v>1688店铺不是Amazon同行</x:v>
      </x:c>
    </x:row>
  </x:sheetData>
  <x:mergeCells>
    <x:mergeCell ref="A1:F1"/>
  </x:mergeCells>
  <x:conditionalFormatting sqref="E3:E10">
    <x:cfRule type="containsText" dxfId="0" priority="1" operator="containsText" text="NEEDS DATA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7" hidden="0" customWidth="1"/>
    <x:col min="4" max="4" width="17" hidden="0" customWidth="1"/>
    <x:col min="5" max="5" width="58" hidden="0" customWidth="1"/>
  </x:cols>
  <x:sheetData>
    <x:row r="1" ht="31" customHeight="1">
      <x:c r="A1" s="4" t="str">
        <x:v>Vocuer US 历史经营基线｜不是实时后台数据</x:v>
      </x:c>
      <x:c r="B1" s="4"/>
      <x:c r="C1" s="4"/>
      <x:c r="D1" s="4"/>
      <x:c r="E1" s="4"/>
    </x:row>
    <x:row r="2" ht="30" customHeight="1">
      <x:c r="A2" s="38" t="str">
        <x:v>期间/对象</x:v>
      </x:c>
      <x:c r="B2" s="39" t="str">
        <x:v>指标</x:v>
      </x:c>
      <x:c r="C2" s="39" t="str">
        <x:v>数值</x:v>
      </x:c>
      <x:c r="D2" s="39" t="str">
        <x:v>证据日期</x:v>
      </x:c>
      <x:c r="E2" s="40" t="str">
        <x:v>限制</x:v>
      </x:c>
    </x:row>
    <x:row r="3">
      <x:c r="A3" s="41"/>
      <x:c r="B3" s="41"/>
      <x:c r="C3" s="41"/>
      <x:c r="D3" s="41"/>
      <x:c r="E3" s="41"/>
    </x:row>
    <x:row r="4">
      <x:c r="A4" s="42"/>
      <x:c r="B4" s="42"/>
      <x:c r="C4" s="42"/>
      <x:c r="D4" s="42"/>
      <x:c r="E4" s="42"/>
    </x:row>
    <x:row r="5">
      <x:c r="A5" s="42"/>
      <x:c r="B5" s="42"/>
      <x:c r="C5" s="44"/>
      <x:c r="D5" s="42"/>
      <x:c r="E5" s="42"/>
    </x:row>
    <x:row r="6">
      <x:c r="A6" s="42"/>
      <x:c r="B6" s="42"/>
      <x:c r="C6" s="44"/>
      <x:c r="D6" s="42"/>
      <x:c r="E6" s="42"/>
    </x:row>
    <x:row r="7">
      <x:c r="A7" s="42"/>
      <x:c r="B7" s="42"/>
      <x:c r="C7" s="45"/>
      <x:c r="D7" s="42"/>
      <x:c r="E7" s="42"/>
    </x:row>
    <x:row r="8">
      <x:c r="A8" s="42"/>
      <x:c r="B8" s="42"/>
      <x:c r="C8" s="42"/>
      <x:c r="D8" s="42"/>
      <x:c r="E8" s="42"/>
    </x:row>
    <x:row r="9">
      <x:c r="A9" s="42"/>
      <x:c r="B9" s="42"/>
      <x:c r="C9" s="44"/>
      <x:c r="D9" s="42"/>
      <x:c r="E9" s="42"/>
    </x:row>
    <x:row r="10">
      <x:c r="A10" s="42"/>
      <x:c r="B10" s="42"/>
      <x:c r="C10" s="44"/>
      <x:c r="D10" s="42"/>
      <x:c r="E10" s="42"/>
    </x:row>
    <x:row r="11">
      <x:c r="A11" s="42"/>
      <x:c r="B11" s="42"/>
      <x:c r="C11" s="45"/>
      <x:c r="D11" s="42"/>
      <x:c r="E11" s="42"/>
    </x:row>
    <x:row r="12">
      <x:c r="A12" s="42"/>
      <x:c r="B12" s="42"/>
      <x:c r="C12" s="42"/>
      <x:c r="D12" s="42"/>
      <x:c r="E12" s="42"/>
    </x:row>
    <x:row r="13">
      <x:c r="A13" s="42"/>
      <x:c r="B13" s="42"/>
      <x:c r="C13" s="45"/>
      <x:c r="D13" s="42"/>
      <x:c r="E13" s="42"/>
    </x:row>
    <x:row r="14">
      <x:c r="A14" s="42"/>
      <x:c r="B14" s="42"/>
      <x:c r="C14" s="42"/>
      <x:c r="D14" s="42"/>
      <x:c r="E14" s="42"/>
    </x:row>
    <x:row r="15">
      <x:c r="A15" s="42"/>
      <x:c r="B15" s="42"/>
      <x:c r="C15" s="42"/>
      <x:c r="D15" s="42"/>
      <x:c r="E15" s="42"/>
    </x:row>
    <x:row r="16">
      <x:c r="A16" s="43"/>
      <x:c r="B16" s="43"/>
      <x:c r="C16" s="43"/>
      <x:c r="D16" s="43"/>
      <x:c r="E16" s="43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31" customHeight="1">
      <x:c r="A1" s="4" t="str">
        <x:v>商品库导入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0" customHeight="1">
      <x:c r="A2" s="38" t="str">
        <x:v>ASIN</x:v>
      </x:c>
      <x:c r="B2" s="39" t="str">
        <x:v>标题</x:v>
      </x:c>
      <x:c r="C2" s="39" t="str">
        <x:v>类目节点</x:v>
      </x:c>
      <x:c r="D2" s="39" t="str">
        <x:v>上架天数</x:v>
      </x:c>
      <x:c r="E2" s="39" t="str">
        <x:v>父ASIN</x:v>
      </x:c>
      <x:c r="F2" s="39" t="str">
        <x:v>月销量</x:v>
      </x:c>
      <x:c r="G2" s="39" t="str">
        <x:v>售价</x:v>
      </x:c>
      <x:c r="H2" s="39" t="str">
        <x:v>评论数</x:v>
      </x:c>
      <x:c r="I2" s="39" t="str">
        <x:v>评分</x:v>
      </x:c>
      <x:c r="J2" s="39" t="str">
        <x:v>履约</x:v>
      </x:c>
      <x:c r="K2" s="39" t="str">
        <x:v>卖家国家</x:v>
      </x:c>
      <x:c r="L2" s="39" t="str">
        <x:v>发货地</x:v>
      </x:c>
      <x:c r="M2" s="39" t="str">
        <x:v>配送时效</x:v>
      </x:c>
      <x:c r="N2" s="39" t="str">
        <x:v>尺寸</x:v>
      </x:c>
      <x:c r="O2" s="39" t="str">
        <x:v>重量</x:v>
      </x:c>
      <x:c r="P2" s="39" t="str">
        <x:v>自然词</x:v>
      </x:c>
      <x:c r="Q2" s="39" t="str">
        <x:v>广告词</x:v>
      </x:c>
      <x:c r="R2" s="39" t="str">
        <x:v>数据日期</x:v>
      </x:c>
      <x:c r="S2" s="40" t="str">
        <x:v>来源文件</x:v>
      </x:c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</x:row>
  </x:sheetData>
  <x:mergeCells>
    <x:mergeCell ref="A1:S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1" customHeight="1">
      <x:c r="A1" s="4" t="str">
        <x:v>关键词导入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0" customHeight="1">
      <x:c r="A2" s="38" t="str">
        <x:v>关键词</x:v>
      </x:c>
      <x:c r="B2" s="39" t="str">
        <x:v>搜索量</x:v>
      </x:c>
      <x:c r="C2" s="39" t="str">
        <x:v>3月增长</x:v>
      </x:c>
      <x:c r="D2" s="39" t="str">
        <x:v>同比增长</x:v>
      </x:c>
      <x:c r="E2" s="39" t="str">
        <x:v>CPC</x:v>
      </x:c>
      <x:c r="F2" s="39" t="str">
        <x:v>转化率</x:v>
      </x:c>
      <x:c r="G2" s="39" t="str">
        <x:v>售价</x:v>
      </x:c>
      <x:c r="H2" s="39" t="str">
        <x:v>购买量</x:v>
      </x:c>
      <x:c r="I2" s="39" t="str">
        <x:v>SPR/CPR</x:v>
      </x:c>
      <x:c r="J2" s="39" t="str">
        <x:v>标题密度</x:v>
      </x:c>
      <x:c r="K2" s="39" t="str">
        <x:v>Top3点击份额</x:v>
      </x:c>
      <x:c r="L2" s="39" t="str">
        <x:v>Top3购买份额</x:v>
      </x:c>
      <x:c r="M2" s="39" t="str">
        <x:v>平均评论</x:v>
      </x:c>
      <x:c r="N2" s="39" t="str">
        <x:v>类目</x:v>
      </x:c>
      <x:c r="O2" s="39" t="str">
        <x:v>数据日期</x:v>
      </x:c>
      <x:c r="P2" s="40" t="str">
        <x:v>来源文件</x:v>
      </x:c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</x:row>
  </x:sheetData>
  <x:mergeCells>
    <x:mergeCell ref="A1:P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1" customHeight="1">
      <x:c r="A1" s="4" t="str">
        <x:v>ABA历史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38" t="str">
        <x:v>周期</x:v>
      </x:c>
      <x:c r="B2" s="39" t="str">
        <x:v>关键词</x:v>
      </x:c>
      <x:c r="C2" s="39" t="str">
        <x:v>搜索频率排名</x:v>
      </x:c>
      <x:c r="D2" s="39" t="str">
        <x:v>点击份额</x:v>
      </x:c>
      <x:c r="E2" s="39" t="str">
        <x:v>购买份额</x:v>
      </x:c>
      <x:c r="F2" s="39" t="str">
        <x:v>Top1 ASIN</x:v>
      </x:c>
      <x:c r="G2" s="39" t="str">
        <x:v>Top2 ASIN</x:v>
      </x:c>
      <x:c r="H2" s="39" t="str">
        <x:v>Top3 ASIN</x:v>
      </x:c>
      <x:c r="I2" s="39" t="str">
        <x:v>历史最早日期</x:v>
      </x:c>
      <x:c r="J2" s="39" t="str">
        <x:v>数据日期</x:v>
      </x:c>
      <x:c r="K2" s="40" t="str">
        <x:v>来源文件</x:v>
      </x:c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1" customHeight="1">
      <x:c r="A1" s="4" t="str">
        <x:v>多平台社媒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0" customHeight="1">
      <x:c r="A2" s="38" t="str">
        <x:v>平台</x:v>
      </x:c>
      <x:c r="B2" s="39" t="str">
        <x:v>国家</x:v>
      </x:c>
      <x:c r="C2" s="39" t="str">
        <x:v>产品/关键词</x:v>
      </x:c>
      <x:c r="D2" s="39" t="str">
        <x:v>链接</x:v>
      </x:c>
      <x:c r="E2" s="39" t="str">
        <x:v>创作者</x:v>
      </x:c>
      <x:c r="F2" s="39" t="str">
        <x:v>发布日期</x:v>
      </x:c>
      <x:c r="G2" s="39" t="str">
        <x:v>是否广告</x:v>
      </x:c>
      <x:c r="H2" s="39" t="str">
        <x:v>播放/销量</x:v>
      </x:c>
      <x:c r="I2" s="39" t="str">
        <x:v>点赞</x:v>
      </x:c>
      <x:c r="J2" s="39" t="str">
        <x:v>评论</x:v>
      </x:c>
      <x:c r="K2" s="39" t="str">
        <x:v>分享</x:v>
      </x:c>
      <x:c r="L2" s="39" t="str">
        <x:v>收藏</x:v>
      </x:c>
      <x:c r="M2" s="39" t="str">
        <x:v>购买意图样本</x:v>
      </x:c>
      <x:c r="N2" s="39" t="str">
        <x:v>证据日期</x:v>
      </x:c>
      <x:c r="O2" s="40" t="str">
        <x:v>限制</x:v>
      </x:c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</x:row>
  </x:sheetData>
  <x:mergeCells>
    <x:mergeCell ref="A1:O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1" customHeight="1">
      <x:c r="A1" s="4" t="str">
        <x:v>同行店铺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38" t="str">
        <x:v>店铺名</x:v>
      </x:c>
      <x:c r="B2" s="39" t="str">
        <x:v>Storefront URL</x:v>
      </x:c>
      <x:c r="C2" s="39" t="str">
        <x:v>站点</x:v>
      </x:c>
      <x:c r="D2" s="39" t="str">
        <x:v>累计反馈</x:v>
      </x:c>
      <x:c r="E2" s="39" t="str">
        <x:v>近12月反馈</x:v>
      </x:c>
      <x:c r="F2" s="39" t="str">
        <x:v>近3月反馈</x:v>
      </x:c>
      <x:c r="G2" s="39" t="str">
        <x:v>Listing数</x:v>
      </x:c>
      <x:c r="H2" s="39" t="str">
        <x:v>售价带</x:v>
      </x:c>
      <x:c r="I2" s="39" t="str">
        <x:v>上新频率</x:v>
      </x:c>
      <x:c r="J2" s="39" t="str">
        <x:v>经营层级</x:v>
      </x:c>
      <x:c r="K2" s="39" t="str">
        <x:v>数据覆盖</x:v>
      </x:c>
      <x:c r="L2" s="39" t="str">
        <x:v>证据日期</x:v>
      </x:c>
      <x:c r="M2" s="40" t="str">
        <x:v>备注</x:v>
      </x:c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</x:row>
  </x:sheetData>
  <x:mergeCells>
    <x:mergeCell ref="A1:M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1" customHeight="1">
      <x:c r="A1" s="4" t="str">
        <x:v>供应链成本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0" customHeight="1">
      <x:c r="A2" s="38" t="str">
        <x:v>candidate_id</x:v>
      </x:c>
      <x:c r="B2" s="39" t="str">
        <x:v>1688链接</x:v>
      </x:c>
      <x:c r="C2" s="39" t="str">
        <x:v>采购价</x:v>
      </x:c>
      <x:c r="D2" s="39" t="str">
        <x:v>MOQ</x:v>
      </x:c>
      <x:c r="E2" s="39" t="str">
        <x:v>可选颜色</x:v>
      </x:c>
      <x:c r="F2" s="39" t="str">
        <x:v>尺寸cm</x:v>
      </x:c>
      <x:c r="G2" s="39" t="str">
        <x:v>单件重量kg</x:v>
      </x:c>
      <x:c r="H2" s="39" t="str">
        <x:v>箱规</x:v>
      </x:c>
      <x:c r="I2" s="39" t="str">
        <x:v>打样天</x:v>
      </x:c>
      <x:c r="J2" s="39" t="str">
        <x:v>生产天</x:v>
      </x:c>
      <x:c r="K2" s="39" t="str">
        <x:v>预处理天</x:v>
      </x:c>
      <x:c r="L2" s="39" t="str">
        <x:v>运输上架天</x:v>
      </x:c>
      <x:c r="M2" s="39" t="str">
        <x:v>可定制项</x:v>
      </x:c>
      <x:c r="N2" s="39" t="str">
        <x:v>供应商</x:v>
      </x:c>
      <x:c r="O2" s="39" t="str">
        <x:v>询价日期</x:v>
      </x:c>
      <x:c r="P2" s="40" t="str">
        <x:v>备注</x:v>
      </x:c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</x:row>
  </x:sheetData>
  <x:mergeCells>
    <x:mergeCell ref="A1:P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30" hidden="0" customWidth="1"/>
    <x:col min="26" max="26" width="15" hidden="0" customWidth="1"/>
  </x:cols>
  <x:sheetData>
    <x:row r="1" ht="31" customHeight="1">
      <x:c r="A1" s="4" t="str">
        <x:v>利润模型｜黄色为输入，蓝色为公式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0" customHeight="1">
      <x:c r="A2" s="38" t="str">
        <x:v>candidate_id</x:v>
      </x:c>
      <x:c r="B2" s="39" t="str">
        <x:v>售价</x:v>
      </x:c>
      <x:c r="C2" s="39" t="str">
        <x:v>Coupon/折扣</x:v>
      </x:c>
      <x:c r="D2" s="39" t="str">
        <x:v>佣金率</x:v>
      </x:c>
      <x:c r="E2" s="39" t="str">
        <x:v>FBA费</x:v>
      </x:c>
      <x:c r="F2" s="39" t="str">
        <x:v>仓储</x:v>
      </x:c>
      <x:c r="G2" s="39" t="str">
        <x:v>采购</x:v>
      </x:c>
      <x:c r="H2" s="39" t="str">
        <x:v>国内物流</x:v>
      </x:c>
      <x:c r="I2" s="39" t="str">
        <x:v>头程关税</x:v>
      </x:c>
      <x:c r="J2" s="39" t="str">
        <x:v>包装贴标</x:v>
      </x:c>
      <x:c r="K2" s="39" t="str">
        <x:v>退货损耗</x:v>
      </x:c>
      <x:c r="L2" s="39" t="str">
        <x:v>CPC</x:v>
      </x:c>
      <x:c r="M2" s="39" t="str">
        <x:v>CVR</x:v>
      </x:c>
      <x:c r="N2" s="39" t="str">
        <x:v>广告前净收入</x:v>
      </x:c>
      <x:c r="O2" s="39" t="str">
        <x:v>佣金</x:v>
      </x:c>
      <x:c r="P2" s="39" t="str">
        <x:v>落地成本</x:v>
      </x:c>
      <x:c r="Q2" s="39" t="str">
        <x:v>广告前利润</x:v>
      </x:c>
      <x:c r="R2" s="39" t="str">
        <x:v>广告前毛利率</x:v>
      </x:c>
      <x:c r="S2" s="39" t="str">
        <x:v>预计CPA</x:v>
      </x:c>
      <x:c r="T2" s="39" t="str">
        <x:v>预估ACoS</x:v>
      </x:c>
      <x:c r="U2" s="39" t="str">
        <x:v>盈亏平衡ACoS</x:v>
      </x:c>
      <x:c r="V2" s="39" t="str">
        <x:v>广告后贡献</x:v>
      </x:c>
      <x:c r="W2" s="39" t="str">
        <x:v>最大可承受CPC</x:v>
      </x:c>
      <x:c r="X2" s="39" t="str">
        <x:v>完整性</x:v>
      </x:c>
      <x:c r="Y2" s="39" t="str">
        <x:v>备注</x:v>
      </x:c>
      <x:c r="Z2" s="40" t="str">
        <x:v>数据日期</x:v>
      </x:c>
    </x:row>
    <x:row r="3">
      <x:c r="A3" s="41"/>
      <x:c r="B3" s="57"/>
      <x:c r="C3" s="57"/>
      <x:c r="D3" s="59"/>
      <x:c r="E3" s="57"/>
      <x:c r="F3" s="57"/>
      <x:c r="G3" s="57"/>
      <x:c r="H3" s="57"/>
      <x:c r="I3" s="57"/>
      <x:c r="J3" s="57"/>
      <x:c r="K3" s="57"/>
      <x:c r="L3" s="57"/>
      <x:c r="M3" s="59"/>
      <x:c r="N3" s="61" t="str">
        <x:f>IF(B3="","",B3-C3)</x:f>
      </x:c>
      <x:c r="O3" s="61" t="str">
        <x:f>IF(OR(B3="",D3=""),"",B3*D3)</x:f>
      </x:c>
      <x:c r="P3" s="61" t="str">
        <x:f>IF(COUNT(E3:K3)&lt;7,"",SUM(E3:K3))</x:f>
      </x:c>
      <x:c r="Q3" s="61" t="str">
        <x:f>IF(OR(N3="",O3="",P3=""),"",N3-O3-P3)</x:f>
      </x:c>
      <x:c r="R3" s="64" t="str">
        <x:f>IF(OR(Q3="",B3=0),"",Q3/B3)</x:f>
      </x:c>
      <x:c r="S3" s="61" t="str">
        <x:f>IF(OR(L3="",M3="",M3=0),"",L3/M3)</x:f>
      </x:c>
      <x:c r="T3" s="64" t="str">
        <x:f>IF(OR(L3="",M3="",B3="",M3=0,B3=0),"",L3/(M3*B3))</x:f>
      </x:c>
      <x:c r="U3" s="64" t="str">
        <x:f>IF(OR(Q3="",B3=0),"",Q3/B3)</x:f>
      </x:c>
      <x:c r="V3" s="61" t="str">
        <x:f>IF(OR(Q3="",S3=""),"",Q3-S3)</x:f>
      </x:c>
      <x:c r="W3" s="61" t="str">
        <x:f>IF(OR(Q3="",M3=""),"",Q3*M3)</x:f>
      </x:c>
      <x:c r="X3" s="22" t="str">
        <x:f>IF(COUNTA(B3:M3)=0,"",IF(COUNT(B3:M3)&lt;12,"NEEDS DATA","完整"))</x:f>
      </x:c>
      <x:c r="Y3" s="22"/>
      <x:c r="Z3" s="22"/>
    </x:row>
    <x:row r="4">
      <x:c r="A4" s="42"/>
      <x:c r="B4" s="44"/>
      <x:c r="C4" s="44"/>
      <x:c r="D4" s="45"/>
      <x:c r="E4" s="44"/>
      <x:c r="F4" s="44"/>
      <x:c r="G4" s="44"/>
      <x:c r="H4" s="44"/>
      <x:c r="I4" s="44"/>
      <x:c r="J4" s="44"/>
      <x:c r="K4" s="44"/>
      <x:c r="L4" s="44"/>
      <x:c r="M4" s="45"/>
      <x:c r="N4" s="62" t="str">
        <x:f>IF(B4="","",B4-C4)</x:f>
      </x:c>
      <x:c r="O4" s="62" t="str">
        <x:f>IF(OR(B4="",D4=""),"",B4*D4)</x:f>
      </x:c>
      <x:c r="P4" s="62" t="str">
        <x:f>IF(COUNT(E4:K4)&lt;7,"",SUM(E4:K4))</x:f>
      </x:c>
      <x:c r="Q4" s="62" t="str">
        <x:f>IF(OR(N4="",O4="",P4=""),"",N4-O4-P4)</x:f>
      </x:c>
      <x:c r="R4" s="65" t="str">
        <x:f>IF(OR(Q4="",B4=0),"",Q4/B4)</x:f>
      </x:c>
      <x:c r="S4" s="62" t="str">
        <x:f>IF(OR(L4="",M4="",M4=0),"",L4/M4)</x:f>
      </x:c>
      <x:c r="T4" s="65" t="str">
        <x:f>IF(OR(L4="",M4="",B4="",M4=0,B4=0),"",L4/(M4*B4))</x:f>
      </x:c>
      <x:c r="U4" s="65" t="str">
        <x:f>IF(OR(Q4="",B4=0),"",Q4/B4)</x:f>
      </x:c>
      <x:c r="V4" s="62" t="str">
        <x:f>IF(OR(Q4="",S4=""),"",Q4-S4)</x:f>
      </x:c>
      <x:c r="W4" s="62" t="str">
        <x:f>IF(OR(Q4="",M4=""),"",Q4*M4)</x:f>
      </x:c>
      <x:c r="X4" s="24" t="str">
        <x:f>IF(COUNTA(B4:M4)=0,"",IF(COUNT(B4:M4)&lt;12,"NEEDS DATA","完整"))</x:f>
      </x:c>
      <x:c r="Y4" s="24"/>
      <x:c r="Z4" s="24"/>
    </x:row>
    <x:row r="5">
      <x:c r="A5" s="42"/>
      <x:c r="B5" s="44"/>
      <x:c r="C5" s="44"/>
      <x:c r="D5" s="45"/>
      <x:c r="E5" s="44"/>
      <x:c r="F5" s="44"/>
      <x:c r="G5" s="44"/>
      <x:c r="H5" s="44"/>
      <x:c r="I5" s="44"/>
      <x:c r="J5" s="44"/>
      <x:c r="K5" s="44"/>
      <x:c r="L5" s="44"/>
      <x:c r="M5" s="45"/>
      <x:c r="N5" s="62" t="str">
        <x:f>IF(B5="","",B5-C5)</x:f>
      </x:c>
      <x:c r="O5" s="62" t="str">
        <x:f>IF(OR(B5="",D5=""),"",B5*D5)</x:f>
      </x:c>
      <x:c r="P5" s="62" t="str">
        <x:f>IF(COUNT(E5:K5)&lt;7,"",SUM(E5:K5))</x:f>
      </x:c>
      <x:c r="Q5" s="62" t="str">
        <x:f>IF(OR(N5="",O5="",P5=""),"",N5-O5-P5)</x:f>
      </x:c>
      <x:c r="R5" s="65" t="str">
        <x:f>IF(OR(Q5="",B5=0),"",Q5/B5)</x:f>
      </x:c>
      <x:c r="S5" s="62" t="str">
        <x:f>IF(OR(L5="",M5="",M5=0),"",L5/M5)</x:f>
      </x:c>
      <x:c r="T5" s="65" t="str">
        <x:f>IF(OR(L5="",M5="",B5="",M5=0,B5=0),"",L5/(M5*B5))</x:f>
      </x:c>
      <x:c r="U5" s="65" t="str">
        <x:f>IF(OR(Q5="",B5=0),"",Q5/B5)</x:f>
      </x:c>
      <x:c r="V5" s="62" t="str">
        <x:f>IF(OR(Q5="",S5=""),"",Q5-S5)</x:f>
      </x:c>
      <x:c r="W5" s="62" t="str">
        <x:f>IF(OR(Q5="",M5=""),"",Q5*M5)</x:f>
      </x:c>
      <x:c r="X5" s="24" t="str">
        <x:f>IF(COUNTA(B5:M5)=0,"",IF(COUNT(B5:M5)&lt;12,"NEEDS DATA","完整"))</x:f>
      </x:c>
      <x:c r="Y5" s="24"/>
      <x:c r="Z5" s="24"/>
    </x:row>
    <x:row r="6">
      <x:c r="A6" s="42"/>
      <x:c r="B6" s="44"/>
      <x:c r="C6" s="44"/>
      <x:c r="D6" s="45"/>
      <x:c r="E6" s="44"/>
      <x:c r="F6" s="44"/>
      <x:c r="G6" s="44"/>
      <x:c r="H6" s="44"/>
      <x:c r="I6" s="44"/>
      <x:c r="J6" s="44"/>
      <x:c r="K6" s="44"/>
      <x:c r="L6" s="44"/>
      <x:c r="M6" s="45"/>
      <x:c r="N6" s="62" t="str">
        <x:f>IF(B6="","",B6-C6)</x:f>
      </x:c>
      <x:c r="O6" s="62" t="str">
        <x:f>IF(OR(B6="",D6=""),"",B6*D6)</x:f>
      </x:c>
      <x:c r="P6" s="62" t="str">
        <x:f>IF(COUNT(E6:K6)&lt;7,"",SUM(E6:K6))</x:f>
      </x:c>
      <x:c r="Q6" s="62" t="str">
        <x:f>IF(OR(N6="",O6="",P6=""),"",N6-O6-P6)</x:f>
      </x:c>
      <x:c r="R6" s="65" t="str">
        <x:f>IF(OR(Q6="",B6=0),"",Q6/B6)</x:f>
      </x:c>
      <x:c r="S6" s="62" t="str">
        <x:f>IF(OR(L6="",M6="",M6=0),"",L6/M6)</x:f>
      </x:c>
      <x:c r="T6" s="65" t="str">
        <x:f>IF(OR(L6="",M6="",B6="",M6=0,B6=0),"",L6/(M6*B6))</x:f>
      </x:c>
      <x:c r="U6" s="65" t="str">
        <x:f>IF(OR(Q6="",B6=0),"",Q6/B6)</x:f>
      </x:c>
      <x:c r="V6" s="62" t="str">
        <x:f>IF(OR(Q6="",S6=""),"",Q6-S6)</x:f>
      </x:c>
      <x:c r="W6" s="62" t="str">
        <x:f>IF(OR(Q6="",M6=""),"",Q6*M6)</x:f>
      </x:c>
      <x:c r="X6" s="24" t="str">
        <x:f>IF(COUNTA(B6:M6)=0,"",IF(COUNT(B6:M6)&lt;12,"NEEDS DATA","完整"))</x:f>
      </x:c>
      <x:c r="Y6" s="24"/>
      <x:c r="Z6" s="24"/>
    </x:row>
    <x:row r="7">
      <x:c r="A7" s="42"/>
      <x:c r="B7" s="44"/>
      <x:c r="C7" s="44"/>
      <x:c r="D7" s="45"/>
      <x:c r="E7" s="44"/>
      <x:c r="F7" s="44"/>
      <x:c r="G7" s="44"/>
      <x:c r="H7" s="44"/>
      <x:c r="I7" s="44"/>
      <x:c r="J7" s="44"/>
      <x:c r="K7" s="44"/>
      <x:c r="L7" s="44"/>
      <x:c r="M7" s="45"/>
      <x:c r="N7" s="62" t="str">
        <x:f>IF(B7="","",B7-C7)</x:f>
      </x:c>
      <x:c r="O7" s="62" t="str">
        <x:f>IF(OR(B7="",D7=""),"",B7*D7)</x:f>
      </x:c>
      <x:c r="P7" s="62" t="str">
        <x:f>IF(COUNT(E7:K7)&lt;7,"",SUM(E7:K7))</x:f>
      </x:c>
      <x:c r="Q7" s="62" t="str">
        <x:f>IF(OR(N7="",O7="",P7=""),"",N7-O7-P7)</x:f>
      </x:c>
      <x:c r="R7" s="65" t="str">
        <x:f>IF(OR(Q7="",B7=0),"",Q7/B7)</x:f>
      </x:c>
      <x:c r="S7" s="62" t="str">
        <x:f>IF(OR(L7="",M7="",M7=0),"",L7/M7)</x:f>
      </x:c>
      <x:c r="T7" s="65" t="str">
        <x:f>IF(OR(L7="",M7="",B7="",M7=0,B7=0),"",L7/(M7*B7))</x:f>
      </x:c>
      <x:c r="U7" s="65" t="str">
        <x:f>IF(OR(Q7="",B7=0),"",Q7/B7)</x:f>
      </x:c>
      <x:c r="V7" s="62" t="str">
        <x:f>IF(OR(Q7="",S7=""),"",Q7-S7)</x:f>
      </x:c>
      <x:c r="W7" s="62" t="str">
        <x:f>IF(OR(Q7="",M7=""),"",Q7*M7)</x:f>
      </x:c>
      <x:c r="X7" s="24" t="str">
        <x:f>IF(COUNTA(B7:M7)=0,"",IF(COUNT(B7:M7)&lt;12,"NEEDS DATA","完整"))</x:f>
      </x:c>
      <x:c r="Y7" s="24"/>
      <x:c r="Z7" s="24"/>
    </x:row>
    <x:row r="8">
      <x:c r="A8" s="42"/>
      <x:c r="B8" s="44"/>
      <x:c r="C8" s="44"/>
      <x:c r="D8" s="45"/>
      <x:c r="E8" s="44"/>
      <x:c r="F8" s="44"/>
      <x:c r="G8" s="44"/>
      <x:c r="H8" s="44"/>
      <x:c r="I8" s="44"/>
      <x:c r="J8" s="44"/>
      <x:c r="K8" s="44"/>
      <x:c r="L8" s="44"/>
      <x:c r="M8" s="45"/>
      <x:c r="N8" s="62" t="str">
        <x:f>IF(B8="","",B8-C8)</x:f>
      </x:c>
      <x:c r="O8" s="62" t="str">
        <x:f>IF(OR(B8="",D8=""),"",B8*D8)</x:f>
      </x:c>
      <x:c r="P8" s="62" t="str">
        <x:f>IF(COUNT(E8:K8)&lt;7,"",SUM(E8:K8))</x:f>
      </x:c>
      <x:c r="Q8" s="62" t="str">
        <x:f>IF(OR(N8="",O8="",P8=""),"",N8-O8-P8)</x:f>
      </x:c>
      <x:c r="R8" s="65" t="str">
        <x:f>IF(OR(Q8="",B8=0),"",Q8/B8)</x:f>
      </x:c>
      <x:c r="S8" s="62" t="str">
        <x:f>IF(OR(L8="",M8="",M8=0),"",L8/M8)</x:f>
      </x:c>
      <x:c r="T8" s="65" t="str">
        <x:f>IF(OR(L8="",M8="",B8="",M8=0,B8=0),"",L8/(M8*B8))</x:f>
      </x:c>
      <x:c r="U8" s="65" t="str">
        <x:f>IF(OR(Q8="",B8=0),"",Q8/B8)</x:f>
      </x:c>
      <x:c r="V8" s="62" t="str">
        <x:f>IF(OR(Q8="",S8=""),"",Q8-S8)</x:f>
      </x:c>
      <x:c r="W8" s="62" t="str">
        <x:f>IF(OR(Q8="",M8=""),"",Q8*M8)</x:f>
      </x:c>
      <x:c r="X8" s="24" t="str">
        <x:f>IF(COUNTA(B8:M8)=0,"",IF(COUNT(B8:M8)&lt;12,"NEEDS DATA","完整"))</x:f>
      </x:c>
      <x:c r="Y8" s="24"/>
      <x:c r="Z8" s="24"/>
    </x:row>
    <x:row r="9">
      <x:c r="A9" s="42"/>
      <x:c r="B9" s="44"/>
      <x:c r="C9" s="44"/>
      <x:c r="D9" s="45"/>
      <x:c r="E9" s="44"/>
      <x:c r="F9" s="44"/>
      <x:c r="G9" s="44"/>
      <x:c r="H9" s="44"/>
      <x:c r="I9" s="44"/>
      <x:c r="J9" s="44"/>
      <x:c r="K9" s="44"/>
      <x:c r="L9" s="44"/>
      <x:c r="M9" s="45"/>
      <x:c r="N9" s="62" t="str">
        <x:f>IF(B9="","",B9-C9)</x:f>
      </x:c>
      <x:c r="O9" s="62" t="str">
        <x:f>IF(OR(B9="",D9=""),"",B9*D9)</x:f>
      </x:c>
      <x:c r="P9" s="62" t="str">
        <x:f>IF(COUNT(E9:K9)&lt;7,"",SUM(E9:K9))</x:f>
      </x:c>
      <x:c r="Q9" s="62" t="str">
        <x:f>IF(OR(N9="",O9="",P9=""),"",N9-O9-P9)</x:f>
      </x:c>
      <x:c r="R9" s="65" t="str">
        <x:f>IF(OR(Q9="",B9=0),"",Q9/B9)</x:f>
      </x:c>
      <x:c r="S9" s="62" t="str">
        <x:f>IF(OR(L9="",M9="",M9=0),"",L9/M9)</x:f>
      </x:c>
      <x:c r="T9" s="65" t="str">
        <x:f>IF(OR(L9="",M9="",B9="",M9=0,B9=0),"",L9/(M9*B9))</x:f>
      </x:c>
      <x:c r="U9" s="65" t="str">
        <x:f>IF(OR(Q9="",B9=0),"",Q9/B9)</x:f>
      </x:c>
      <x:c r="V9" s="62" t="str">
        <x:f>IF(OR(Q9="",S9=""),"",Q9-S9)</x:f>
      </x:c>
      <x:c r="W9" s="62" t="str">
        <x:f>IF(OR(Q9="",M9=""),"",Q9*M9)</x:f>
      </x:c>
      <x:c r="X9" s="24" t="str">
        <x:f>IF(COUNTA(B9:M9)=0,"",IF(COUNT(B9:M9)&lt;12,"NEEDS DATA","完整"))</x:f>
      </x:c>
      <x:c r="Y9" s="24"/>
      <x:c r="Z9" s="24"/>
    </x:row>
    <x:row r="10">
      <x:c r="A10" s="42"/>
      <x:c r="B10" s="44"/>
      <x:c r="C10" s="44"/>
      <x:c r="D10" s="45"/>
      <x:c r="E10" s="44"/>
      <x:c r="F10" s="44"/>
      <x:c r="G10" s="44"/>
      <x:c r="H10" s="44"/>
      <x:c r="I10" s="44"/>
      <x:c r="J10" s="44"/>
      <x:c r="K10" s="44"/>
      <x:c r="L10" s="44"/>
      <x:c r="M10" s="45"/>
      <x:c r="N10" s="62" t="str">
        <x:f>IF(B10="","",B10-C10)</x:f>
      </x:c>
      <x:c r="O10" s="62" t="str">
        <x:f>IF(OR(B10="",D10=""),"",B10*D10)</x:f>
      </x:c>
      <x:c r="P10" s="62" t="str">
        <x:f>IF(COUNT(E10:K10)&lt;7,"",SUM(E10:K10))</x:f>
      </x:c>
      <x:c r="Q10" s="62" t="str">
        <x:f>IF(OR(N10="",O10="",P10=""),"",N10-O10-P10)</x:f>
      </x:c>
      <x:c r="R10" s="65" t="str">
        <x:f>IF(OR(Q10="",B10=0),"",Q10/B10)</x:f>
      </x:c>
      <x:c r="S10" s="62" t="str">
        <x:f>IF(OR(L10="",M10="",M10=0),"",L10/M10)</x:f>
      </x:c>
      <x:c r="T10" s="65" t="str">
        <x:f>IF(OR(L10="",M10="",B10="",M10=0,B10=0),"",L10/(M10*B10))</x:f>
      </x:c>
      <x:c r="U10" s="65" t="str">
        <x:f>IF(OR(Q10="",B10=0),"",Q10/B10)</x:f>
      </x:c>
      <x:c r="V10" s="62" t="str">
        <x:f>IF(OR(Q10="",S10=""),"",Q10-S10)</x:f>
      </x:c>
      <x:c r="W10" s="62" t="str">
        <x:f>IF(OR(Q10="",M10=""),"",Q10*M10)</x:f>
      </x:c>
      <x:c r="X10" s="24" t="str">
        <x:f>IF(COUNTA(B10:M10)=0,"",IF(COUNT(B10:M10)&lt;12,"NEEDS DATA","完整"))</x:f>
      </x:c>
      <x:c r="Y10" s="24"/>
      <x:c r="Z10" s="24"/>
    </x:row>
    <x:row r="11">
      <x:c r="A11" s="42"/>
      <x:c r="B11" s="44"/>
      <x:c r="C11" s="44"/>
      <x:c r="D11" s="45"/>
      <x:c r="E11" s="44"/>
      <x:c r="F11" s="44"/>
      <x:c r="G11" s="44"/>
      <x:c r="H11" s="44"/>
      <x:c r="I11" s="44"/>
      <x:c r="J11" s="44"/>
      <x:c r="K11" s="44"/>
      <x:c r="L11" s="44"/>
      <x:c r="M11" s="45"/>
      <x:c r="N11" s="62" t="str">
        <x:f>IF(B11="","",B11-C11)</x:f>
      </x:c>
      <x:c r="O11" s="62" t="str">
        <x:f>IF(OR(B11="",D11=""),"",B11*D11)</x:f>
      </x:c>
      <x:c r="P11" s="62" t="str">
        <x:f>IF(COUNT(E11:K11)&lt;7,"",SUM(E11:K11))</x:f>
      </x:c>
      <x:c r="Q11" s="62" t="str">
        <x:f>IF(OR(N11="",O11="",P11=""),"",N11-O11-P11)</x:f>
      </x:c>
      <x:c r="R11" s="65" t="str">
        <x:f>IF(OR(Q11="",B11=0),"",Q11/B11)</x:f>
      </x:c>
      <x:c r="S11" s="62" t="str">
        <x:f>IF(OR(L11="",M11="",M11=0),"",L11/M11)</x:f>
      </x:c>
      <x:c r="T11" s="65" t="str">
        <x:f>IF(OR(L11="",M11="",B11="",M11=0,B11=0),"",L11/(M11*B11))</x:f>
      </x:c>
      <x:c r="U11" s="65" t="str">
        <x:f>IF(OR(Q11="",B11=0),"",Q11/B11)</x:f>
      </x:c>
      <x:c r="V11" s="62" t="str">
        <x:f>IF(OR(Q11="",S11=""),"",Q11-S11)</x:f>
      </x:c>
      <x:c r="W11" s="62" t="str">
        <x:f>IF(OR(Q11="",M11=""),"",Q11*M11)</x:f>
      </x:c>
      <x:c r="X11" s="24" t="str">
        <x:f>IF(COUNTA(B11:M11)=0,"",IF(COUNT(B11:M11)&lt;12,"NEEDS DATA","完整"))</x:f>
      </x:c>
      <x:c r="Y11" s="24"/>
      <x:c r="Z11" s="24"/>
    </x:row>
    <x:row r="12">
      <x:c r="A12" s="42"/>
      <x:c r="B12" s="44"/>
      <x:c r="C12" s="44"/>
      <x:c r="D12" s="45"/>
      <x:c r="E12" s="44"/>
      <x:c r="F12" s="44"/>
      <x:c r="G12" s="44"/>
      <x:c r="H12" s="44"/>
      <x:c r="I12" s="44"/>
      <x:c r="J12" s="44"/>
      <x:c r="K12" s="44"/>
      <x:c r="L12" s="44"/>
      <x:c r="M12" s="45"/>
      <x:c r="N12" s="62" t="str">
        <x:f>IF(B12="","",B12-C12)</x:f>
      </x:c>
      <x:c r="O12" s="62" t="str">
        <x:f>IF(OR(B12="",D12=""),"",B12*D12)</x:f>
      </x:c>
      <x:c r="P12" s="62" t="str">
        <x:f>IF(COUNT(E12:K12)&lt;7,"",SUM(E12:K12))</x:f>
      </x:c>
      <x:c r="Q12" s="62" t="str">
        <x:f>IF(OR(N12="",O12="",P12=""),"",N12-O12-P12)</x:f>
      </x:c>
      <x:c r="R12" s="65" t="str">
        <x:f>IF(OR(Q12="",B12=0),"",Q12/B12)</x:f>
      </x:c>
      <x:c r="S12" s="62" t="str">
        <x:f>IF(OR(L12="",M12="",M12=0),"",L12/M12)</x:f>
      </x:c>
      <x:c r="T12" s="65" t="str">
        <x:f>IF(OR(L12="",M12="",B12="",M12=0,B12=0),"",L12/(M12*B12))</x:f>
      </x:c>
      <x:c r="U12" s="65" t="str">
        <x:f>IF(OR(Q12="",B12=0),"",Q12/B12)</x:f>
      </x:c>
      <x:c r="V12" s="62" t="str">
        <x:f>IF(OR(Q12="",S12=""),"",Q12-S12)</x:f>
      </x:c>
      <x:c r="W12" s="62" t="str">
        <x:f>IF(OR(Q12="",M12=""),"",Q12*M12)</x:f>
      </x:c>
      <x:c r="X12" s="24" t="str">
        <x:f>IF(COUNTA(B12:M12)=0,"",IF(COUNT(B12:M12)&lt;12,"NEEDS DATA","完整"))</x:f>
      </x:c>
      <x:c r="Y12" s="24"/>
      <x:c r="Z12" s="24"/>
    </x:row>
    <x:row r="13">
      <x:c r="A13" s="42"/>
      <x:c r="B13" s="44"/>
      <x:c r="C13" s="44"/>
      <x:c r="D13" s="45"/>
      <x:c r="E13" s="44"/>
      <x:c r="F13" s="44"/>
      <x:c r="G13" s="44"/>
      <x:c r="H13" s="44"/>
      <x:c r="I13" s="44"/>
      <x:c r="J13" s="44"/>
      <x:c r="K13" s="44"/>
      <x:c r="L13" s="44"/>
      <x:c r="M13" s="45"/>
      <x:c r="N13" s="62" t="str">
        <x:f>IF(B13="","",B13-C13)</x:f>
      </x:c>
      <x:c r="O13" s="62" t="str">
        <x:f>IF(OR(B13="",D13=""),"",B13*D13)</x:f>
      </x:c>
      <x:c r="P13" s="62" t="str">
        <x:f>IF(COUNT(E13:K13)&lt;7,"",SUM(E13:K13))</x:f>
      </x:c>
      <x:c r="Q13" s="62" t="str">
        <x:f>IF(OR(N13="",O13="",P13=""),"",N13-O13-P13)</x:f>
      </x:c>
      <x:c r="R13" s="65" t="str">
        <x:f>IF(OR(Q13="",B13=0),"",Q13/B13)</x:f>
      </x:c>
      <x:c r="S13" s="62" t="str">
        <x:f>IF(OR(L13="",M13="",M13=0),"",L13/M13)</x:f>
      </x:c>
      <x:c r="T13" s="65" t="str">
        <x:f>IF(OR(L13="",M13="",B13="",M13=0,B13=0),"",L13/(M13*B13))</x:f>
      </x:c>
      <x:c r="U13" s="65" t="str">
        <x:f>IF(OR(Q13="",B13=0),"",Q13/B13)</x:f>
      </x:c>
      <x:c r="V13" s="62" t="str">
        <x:f>IF(OR(Q13="",S13=""),"",Q13-S13)</x:f>
      </x:c>
      <x:c r="W13" s="62" t="str">
        <x:f>IF(OR(Q13="",M13=""),"",Q13*M13)</x:f>
      </x:c>
      <x:c r="X13" s="24" t="str">
        <x:f>IF(COUNTA(B13:M13)=0,"",IF(COUNT(B13:M13)&lt;12,"NEEDS DATA","完整"))</x:f>
      </x:c>
      <x:c r="Y13" s="24"/>
      <x:c r="Z13" s="24"/>
    </x:row>
    <x:row r="14">
      <x:c r="A14" s="42"/>
      <x:c r="B14" s="44"/>
      <x:c r="C14" s="44"/>
      <x:c r="D14" s="45"/>
      <x:c r="E14" s="44"/>
      <x:c r="F14" s="44"/>
      <x:c r="G14" s="44"/>
      <x:c r="H14" s="44"/>
      <x:c r="I14" s="44"/>
      <x:c r="J14" s="44"/>
      <x:c r="K14" s="44"/>
      <x:c r="L14" s="44"/>
      <x:c r="M14" s="45"/>
      <x:c r="N14" s="62" t="str">
        <x:f>IF(B14="","",B14-C14)</x:f>
      </x:c>
      <x:c r="O14" s="62" t="str">
        <x:f>IF(OR(B14="",D14=""),"",B14*D14)</x:f>
      </x:c>
      <x:c r="P14" s="62" t="str">
        <x:f>IF(COUNT(E14:K14)&lt;7,"",SUM(E14:K14))</x:f>
      </x:c>
      <x:c r="Q14" s="62" t="str">
        <x:f>IF(OR(N14="",O14="",P14=""),"",N14-O14-P14)</x:f>
      </x:c>
      <x:c r="R14" s="65" t="str">
        <x:f>IF(OR(Q14="",B14=0),"",Q14/B14)</x:f>
      </x:c>
      <x:c r="S14" s="62" t="str">
        <x:f>IF(OR(L14="",M14="",M14=0),"",L14/M14)</x:f>
      </x:c>
      <x:c r="T14" s="65" t="str">
        <x:f>IF(OR(L14="",M14="",B14="",M14=0,B14=0),"",L14/(M14*B14))</x:f>
      </x:c>
      <x:c r="U14" s="65" t="str">
        <x:f>IF(OR(Q14="",B14=0),"",Q14/B14)</x:f>
      </x:c>
      <x:c r="V14" s="62" t="str">
        <x:f>IF(OR(Q14="",S14=""),"",Q14-S14)</x:f>
      </x:c>
      <x:c r="W14" s="62" t="str">
        <x:f>IF(OR(Q14="",M14=""),"",Q14*M14)</x:f>
      </x:c>
      <x:c r="X14" s="24" t="str">
        <x:f>IF(COUNTA(B14:M14)=0,"",IF(COUNT(B14:M14)&lt;12,"NEEDS DATA","完整"))</x:f>
      </x:c>
      <x:c r="Y14" s="24"/>
      <x:c r="Z14" s="24"/>
    </x:row>
    <x:row r="15">
      <x:c r="A15" s="42"/>
      <x:c r="B15" s="44"/>
      <x:c r="C15" s="44"/>
      <x:c r="D15" s="45"/>
      <x:c r="E15" s="44"/>
      <x:c r="F15" s="44"/>
      <x:c r="G15" s="44"/>
      <x:c r="H15" s="44"/>
      <x:c r="I15" s="44"/>
      <x:c r="J15" s="44"/>
      <x:c r="K15" s="44"/>
      <x:c r="L15" s="44"/>
      <x:c r="M15" s="45"/>
      <x:c r="N15" s="62" t="str">
        <x:f>IF(B15="","",B15-C15)</x:f>
      </x:c>
      <x:c r="O15" s="62" t="str">
        <x:f>IF(OR(B15="",D15=""),"",B15*D15)</x:f>
      </x:c>
      <x:c r="P15" s="62" t="str">
        <x:f>IF(COUNT(E15:K15)&lt;7,"",SUM(E15:K15))</x:f>
      </x:c>
      <x:c r="Q15" s="62" t="str">
        <x:f>IF(OR(N15="",O15="",P15=""),"",N15-O15-P15)</x:f>
      </x:c>
      <x:c r="R15" s="65" t="str">
        <x:f>IF(OR(Q15="",B15=0),"",Q15/B15)</x:f>
      </x:c>
      <x:c r="S15" s="62" t="str">
        <x:f>IF(OR(L15="",M15="",M15=0),"",L15/M15)</x:f>
      </x:c>
      <x:c r="T15" s="65" t="str">
        <x:f>IF(OR(L15="",M15="",B15="",M15=0,B15=0),"",L15/(M15*B15))</x:f>
      </x:c>
      <x:c r="U15" s="65" t="str">
        <x:f>IF(OR(Q15="",B15=0),"",Q15/B15)</x:f>
      </x:c>
      <x:c r="V15" s="62" t="str">
        <x:f>IF(OR(Q15="",S15=""),"",Q15-S15)</x:f>
      </x:c>
      <x:c r="W15" s="62" t="str">
        <x:f>IF(OR(Q15="",M15=""),"",Q15*M15)</x:f>
      </x:c>
      <x:c r="X15" s="24" t="str">
        <x:f>IF(COUNTA(B15:M15)=0,"",IF(COUNT(B15:M15)&lt;12,"NEEDS DATA","完整"))</x:f>
      </x:c>
      <x:c r="Y15" s="24"/>
      <x:c r="Z15" s="24"/>
    </x:row>
    <x:row r="16">
      <x:c r="A16" s="42"/>
      <x:c r="B16" s="44"/>
      <x:c r="C16" s="44"/>
      <x:c r="D16" s="45"/>
      <x:c r="E16" s="44"/>
      <x:c r="F16" s="44"/>
      <x:c r="G16" s="44"/>
      <x:c r="H16" s="44"/>
      <x:c r="I16" s="44"/>
      <x:c r="J16" s="44"/>
      <x:c r="K16" s="44"/>
      <x:c r="L16" s="44"/>
      <x:c r="M16" s="45"/>
      <x:c r="N16" s="62" t="str">
        <x:f>IF(B16="","",B16-C16)</x:f>
      </x:c>
      <x:c r="O16" s="62" t="str">
        <x:f>IF(OR(B16="",D16=""),"",B16*D16)</x:f>
      </x:c>
      <x:c r="P16" s="62" t="str">
        <x:f>IF(COUNT(E16:K16)&lt;7,"",SUM(E16:K16))</x:f>
      </x:c>
      <x:c r="Q16" s="62" t="str">
        <x:f>IF(OR(N16="",O16="",P16=""),"",N16-O16-P16)</x:f>
      </x:c>
      <x:c r="R16" s="65" t="str">
        <x:f>IF(OR(Q16="",B16=0),"",Q16/B16)</x:f>
      </x:c>
      <x:c r="S16" s="62" t="str">
        <x:f>IF(OR(L16="",M16="",M16=0),"",L16/M16)</x:f>
      </x:c>
      <x:c r="T16" s="65" t="str">
        <x:f>IF(OR(L16="",M16="",B16="",M16=0,B16=0),"",L16/(M16*B16))</x:f>
      </x:c>
      <x:c r="U16" s="65" t="str">
        <x:f>IF(OR(Q16="",B16=0),"",Q16/B16)</x:f>
      </x:c>
      <x:c r="V16" s="62" t="str">
        <x:f>IF(OR(Q16="",S16=""),"",Q16-S16)</x:f>
      </x:c>
      <x:c r="W16" s="62" t="str">
        <x:f>IF(OR(Q16="",M16=""),"",Q16*M16)</x:f>
      </x:c>
      <x:c r="X16" s="24" t="str">
        <x:f>IF(COUNTA(B16:M16)=0,"",IF(COUNT(B16:M16)&lt;12,"NEEDS DATA","完整"))</x:f>
      </x:c>
      <x:c r="Y16" s="24"/>
      <x:c r="Z16" s="24"/>
    </x:row>
    <x:row r="17">
      <x:c r="A17" s="42"/>
      <x:c r="B17" s="44"/>
      <x:c r="C17" s="44"/>
      <x:c r="D17" s="45"/>
      <x:c r="E17" s="44"/>
      <x:c r="F17" s="44"/>
      <x:c r="G17" s="44"/>
      <x:c r="H17" s="44"/>
      <x:c r="I17" s="44"/>
      <x:c r="J17" s="44"/>
      <x:c r="K17" s="44"/>
      <x:c r="L17" s="44"/>
      <x:c r="M17" s="45"/>
      <x:c r="N17" s="62" t="str">
        <x:f>IF(B17="","",B17-C17)</x:f>
      </x:c>
      <x:c r="O17" s="62" t="str">
        <x:f>IF(OR(B17="",D17=""),"",B17*D17)</x:f>
      </x:c>
      <x:c r="P17" s="62" t="str">
        <x:f>IF(COUNT(E17:K17)&lt;7,"",SUM(E17:K17))</x:f>
      </x:c>
      <x:c r="Q17" s="62" t="str">
        <x:f>IF(OR(N17="",O17="",P17=""),"",N17-O17-P17)</x:f>
      </x:c>
      <x:c r="R17" s="65" t="str">
        <x:f>IF(OR(Q17="",B17=0),"",Q17/B17)</x:f>
      </x:c>
      <x:c r="S17" s="62" t="str">
        <x:f>IF(OR(L17="",M17="",M17=0),"",L17/M17)</x:f>
      </x:c>
      <x:c r="T17" s="65" t="str">
        <x:f>IF(OR(L17="",M17="",B17="",M17=0,B17=0),"",L17/(M17*B17))</x:f>
      </x:c>
      <x:c r="U17" s="65" t="str">
        <x:f>IF(OR(Q17="",B17=0),"",Q17/B17)</x:f>
      </x:c>
      <x:c r="V17" s="62" t="str">
        <x:f>IF(OR(Q17="",S17=""),"",Q17-S17)</x:f>
      </x:c>
      <x:c r="W17" s="62" t="str">
        <x:f>IF(OR(Q17="",M17=""),"",Q17*M17)</x:f>
      </x:c>
      <x:c r="X17" s="24" t="str">
        <x:f>IF(COUNTA(B17:M17)=0,"",IF(COUNT(B17:M17)&lt;12,"NEEDS DATA","完整"))</x:f>
      </x:c>
      <x:c r="Y17" s="24"/>
      <x:c r="Z17" s="24"/>
    </x:row>
    <x:row r="18">
      <x:c r="A18" s="42"/>
      <x:c r="B18" s="44"/>
      <x:c r="C18" s="44"/>
      <x:c r="D18" s="45"/>
      <x:c r="E18" s="44"/>
      <x:c r="F18" s="44"/>
      <x:c r="G18" s="44"/>
      <x:c r="H18" s="44"/>
      <x:c r="I18" s="44"/>
      <x:c r="J18" s="44"/>
      <x:c r="K18" s="44"/>
      <x:c r="L18" s="44"/>
      <x:c r="M18" s="45"/>
      <x:c r="N18" s="62" t="str">
        <x:f>IF(B18="","",B18-C18)</x:f>
      </x:c>
      <x:c r="O18" s="62" t="str">
        <x:f>IF(OR(B18="",D18=""),"",B18*D18)</x:f>
      </x:c>
      <x:c r="P18" s="62" t="str">
        <x:f>IF(COUNT(E18:K18)&lt;7,"",SUM(E18:K18))</x:f>
      </x:c>
      <x:c r="Q18" s="62" t="str">
        <x:f>IF(OR(N18="",O18="",P18=""),"",N18-O18-P18)</x:f>
      </x:c>
      <x:c r="R18" s="65" t="str">
        <x:f>IF(OR(Q18="",B18=0),"",Q18/B18)</x:f>
      </x:c>
      <x:c r="S18" s="62" t="str">
        <x:f>IF(OR(L18="",M18="",M18=0),"",L18/M18)</x:f>
      </x:c>
      <x:c r="T18" s="65" t="str">
        <x:f>IF(OR(L18="",M18="",B18="",M18=0,B18=0),"",L18/(M18*B18))</x:f>
      </x:c>
      <x:c r="U18" s="65" t="str">
        <x:f>IF(OR(Q18="",B18=0),"",Q18/B18)</x:f>
      </x:c>
      <x:c r="V18" s="62" t="str">
        <x:f>IF(OR(Q18="",S18=""),"",Q18-S18)</x:f>
      </x:c>
      <x:c r="W18" s="62" t="str">
        <x:f>IF(OR(Q18="",M18=""),"",Q18*M18)</x:f>
      </x:c>
      <x:c r="X18" s="24" t="str">
        <x:f>IF(COUNTA(B18:M18)=0,"",IF(COUNT(B18:M18)&lt;12,"NEEDS DATA","完整"))</x:f>
      </x:c>
      <x:c r="Y18" s="24"/>
      <x:c r="Z18" s="24"/>
    </x:row>
    <x:row r="19">
      <x:c r="A19" s="42"/>
      <x:c r="B19" s="44"/>
      <x:c r="C19" s="44"/>
      <x:c r="D19" s="45"/>
      <x:c r="E19" s="44"/>
      <x:c r="F19" s="44"/>
      <x:c r="G19" s="44"/>
      <x:c r="H19" s="44"/>
      <x:c r="I19" s="44"/>
      <x:c r="J19" s="44"/>
      <x:c r="K19" s="44"/>
      <x:c r="L19" s="44"/>
      <x:c r="M19" s="45"/>
      <x:c r="N19" s="62" t="str">
        <x:f>IF(B19="","",B19-C19)</x:f>
      </x:c>
      <x:c r="O19" s="62" t="str">
        <x:f>IF(OR(B19="",D19=""),"",B19*D19)</x:f>
      </x:c>
      <x:c r="P19" s="62" t="str">
        <x:f>IF(COUNT(E19:K19)&lt;7,"",SUM(E19:K19))</x:f>
      </x:c>
      <x:c r="Q19" s="62" t="str">
        <x:f>IF(OR(N19="",O19="",P19=""),"",N19-O19-P19)</x:f>
      </x:c>
      <x:c r="R19" s="65" t="str">
        <x:f>IF(OR(Q19="",B19=0),"",Q19/B19)</x:f>
      </x:c>
      <x:c r="S19" s="62" t="str">
        <x:f>IF(OR(L19="",M19="",M19=0),"",L19/M19)</x:f>
      </x:c>
      <x:c r="T19" s="65" t="str">
        <x:f>IF(OR(L19="",M19="",B19="",M19=0,B19=0),"",L19/(M19*B19))</x:f>
      </x:c>
      <x:c r="U19" s="65" t="str">
        <x:f>IF(OR(Q19="",B19=0),"",Q19/B19)</x:f>
      </x:c>
      <x:c r="V19" s="62" t="str">
        <x:f>IF(OR(Q19="",S19=""),"",Q19-S19)</x:f>
      </x:c>
      <x:c r="W19" s="62" t="str">
        <x:f>IF(OR(Q19="",M19=""),"",Q19*M19)</x:f>
      </x:c>
      <x:c r="X19" s="24" t="str">
        <x:f>IF(COUNTA(B19:M19)=0,"",IF(COUNT(B19:M19)&lt;12,"NEEDS DATA","完整"))</x:f>
      </x:c>
      <x:c r="Y19" s="24"/>
      <x:c r="Z19" s="24"/>
    </x:row>
    <x:row r="20">
      <x:c r="A20" s="42"/>
      <x:c r="B20" s="44"/>
      <x:c r="C20" s="44"/>
      <x:c r="D20" s="45"/>
      <x:c r="E20" s="44"/>
      <x:c r="F20" s="44"/>
      <x:c r="G20" s="44"/>
      <x:c r="H20" s="44"/>
      <x:c r="I20" s="44"/>
      <x:c r="J20" s="44"/>
      <x:c r="K20" s="44"/>
      <x:c r="L20" s="44"/>
      <x:c r="M20" s="45"/>
      <x:c r="N20" s="62" t="str">
        <x:f>IF(B20="","",B20-C20)</x:f>
      </x:c>
      <x:c r="O20" s="62" t="str">
        <x:f>IF(OR(B20="",D20=""),"",B20*D20)</x:f>
      </x:c>
      <x:c r="P20" s="62" t="str">
        <x:f>IF(COUNT(E20:K20)&lt;7,"",SUM(E20:K20))</x:f>
      </x:c>
      <x:c r="Q20" s="62" t="str">
        <x:f>IF(OR(N20="",O20="",P20=""),"",N20-O20-P20)</x:f>
      </x:c>
      <x:c r="R20" s="65" t="str">
        <x:f>IF(OR(Q20="",B20=0),"",Q20/B20)</x:f>
      </x:c>
      <x:c r="S20" s="62" t="str">
        <x:f>IF(OR(L20="",M20="",M20=0),"",L20/M20)</x:f>
      </x:c>
      <x:c r="T20" s="65" t="str">
        <x:f>IF(OR(L20="",M20="",B20="",M20=0,B20=0),"",L20/(M20*B20))</x:f>
      </x:c>
      <x:c r="U20" s="65" t="str">
        <x:f>IF(OR(Q20="",B20=0),"",Q20/B20)</x:f>
      </x:c>
      <x:c r="V20" s="62" t="str">
        <x:f>IF(OR(Q20="",S20=""),"",Q20-S20)</x:f>
      </x:c>
      <x:c r="W20" s="62" t="str">
        <x:f>IF(OR(Q20="",M20=""),"",Q20*M20)</x:f>
      </x:c>
      <x:c r="X20" s="24" t="str">
        <x:f>IF(COUNTA(B20:M20)=0,"",IF(COUNT(B20:M20)&lt;12,"NEEDS DATA","完整"))</x:f>
      </x:c>
      <x:c r="Y20" s="24"/>
      <x:c r="Z20" s="24"/>
    </x:row>
    <x:row r="21">
      <x:c r="A21" s="42"/>
      <x:c r="B21" s="44"/>
      <x:c r="C21" s="44"/>
      <x:c r="D21" s="45"/>
      <x:c r="E21" s="44"/>
      <x:c r="F21" s="44"/>
      <x:c r="G21" s="44"/>
      <x:c r="H21" s="44"/>
      <x:c r="I21" s="44"/>
      <x:c r="J21" s="44"/>
      <x:c r="K21" s="44"/>
      <x:c r="L21" s="44"/>
      <x:c r="M21" s="45"/>
      <x:c r="N21" s="62" t="str">
        <x:f>IF(B21="","",B21-C21)</x:f>
      </x:c>
      <x:c r="O21" s="62" t="str">
        <x:f>IF(OR(B21="",D21=""),"",B21*D21)</x:f>
      </x:c>
      <x:c r="P21" s="62" t="str">
        <x:f>IF(COUNT(E21:K21)&lt;7,"",SUM(E21:K21))</x:f>
      </x:c>
      <x:c r="Q21" s="62" t="str">
        <x:f>IF(OR(N21="",O21="",P21=""),"",N21-O21-P21)</x:f>
      </x:c>
      <x:c r="R21" s="65" t="str">
        <x:f>IF(OR(Q21="",B21=0),"",Q21/B21)</x:f>
      </x:c>
      <x:c r="S21" s="62" t="str">
        <x:f>IF(OR(L21="",M21="",M21=0),"",L21/M21)</x:f>
      </x:c>
      <x:c r="T21" s="65" t="str">
        <x:f>IF(OR(L21="",M21="",B21="",M21=0,B21=0),"",L21/(M21*B21))</x:f>
      </x:c>
      <x:c r="U21" s="65" t="str">
        <x:f>IF(OR(Q21="",B21=0),"",Q21/B21)</x:f>
      </x:c>
      <x:c r="V21" s="62" t="str">
        <x:f>IF(OR(Q21="",S21=""),"",Q21-S21)</x:f>
      </x:c>
      <x:c r="W21" s="62" t="str">
        <x:f>IF(OR(Q21="",M21=""),"",Q21*M21)</x:f>
      </x:c>
      <x:c r="X21" s="24" t="str">
        <x:f>IF(COUNTA(B21:M21)=0,"",IF(COUNT(B21:M21)&lt;12,"NEEDS DATA","完整"))</x:f>
      </x:c>
      <x:c r="Y21" s="24"/>
      <x:c r="Z21" s="24"/>
    </x:row>
    <x:row r="22">
      <x:c r="A22" s="42"/>
      <x:c r="B22" s="44"/>
      <x:c r="C22" s="44"/>
      <x:c r="D22" s="45"/>
      <x:c r="E22" s="44"/>
      <x:c r="F22" s="44"/>
      <x:c r="G22" s="44"/>
      <x:c r="H22" s="44"/>
      <x:c r="I22" s="44"/>
      <x:c r="J22" s="44"/>
      <x:c r="K22" s="44"/>
      <x:c r="L22" s="44"/>
      <x:c r="M22" s="45"/>
      <x:c r="N22" s="62" t="str">
        <x:f>IF(B22="","",B22-C22)</x:f>
      </x:c>
      <x:c r="O22" s="62" t="str">
        <x:f>IF(OR(B22="",D22=""),"",B22*D22)</x:f>
      </x:c>
      <x:c r="P22" s="62" t="str">
        <x:f>IF(COUNT(E22:K22)&lt;7,"",SUM(E22:K22))</x:f>
      </x:c>
      <x:c r="Q22" s="62" t="str">
        <x:f>IF(OR(N22="",O22="",P22=""),"",N22-O22-P22)</x:f>
      </x:c>
      <x:c r="R22" s="65" t="str">
        <x:f>IF(OR(Q22="",B22=0),"",Q22/B22)</x:f>
      </x:c>
      <x:c r="S22" s="62" t="str">
        <x:f>IF(OR(L22="",M22="",M22=0),"",L22/M22)</x:f>
      </x:c>
      <x:c r="T22" s="65" t="str">
        <x:f>IF(OR(L22="",M22="",B22="",M22=0,B22=0),"",L22/(M22*B22))</x:f>
      </x:c>
      <x:c r="U22" s="65" t="str">
        <x:f>IF(OR(Q22="",B22=0),"",Q22/B22)</x:f>
      </x:c>
      <x:c r="V22" s="62" t="str">
        <x:f>IF(OR(Q22="",S22=""),"",Q22-S22)</x:f>
      </x:c>
      <x:c r="W22" s="62" t="str">
        <x:f>IF(OR(Q22="",M22=""),"",Q22*M22)</x:f>
      </x:c>
      <x:c r="X22" s="24" t="str">
        <x:f>IF(COUNTA(B22:M22)=0,"",IF(COUNT(B22:M22)&lt;12,"NEEDS DATA","完整"))</x:f>
      </x:c>
      <x:c r="Y22" s="24"/>
      <x:c r="Z22" s="24"/>
    </x:row>
    <x:row r="23">
      <x:c r="A23" s="42"/>
      <x:c r="B23" s="44"/>
      <x:c r="C23" s="44"/>
      <x:c r="D23" s="45"/>
      <x:c r="E23" s="44"/>
      <x:c r="F23" s="44"/>
      <x:c r="G23" s="44"/>
      <x:c r="H23" s="44"/>
      <x:c r="I23" s="44"/>
      <x:c r="J23" s="44"/>
      <x:c r="K23" s="44"/>
      <x:c r="L23" s="44"/>
      <x:c r="M23" s="45"/>
      <x:c r="N23" s="62" t="str">
        <x:f>IF(B23="","",B23-C23)</x:f>
      </x:c>
      <x:c r="O23" s="62" t="str">
        <x:f>IF(OR(B23="",D23=""),"",B23*D23)</x:f>
      </x:c>
      <x:c r="P23" s="62" t="str">
        <x:f>IF(COUNT(E23:K23)&lt;7,"",SUM(E23:K23))</x:f>
      </x:c>
      <x:c r="Q23" s="62" t="str">
        <x:f>IF(OR(N23="",O23="",P23=""),"",N23-O23-P23)</x:f>
      </x:c>
      <x:c r="R23" s="65" t="str">
        <x:f>IF(OR(Q23="",B23=0),"",Q23/B23)</x:f>
      </x:c>
      <x:c r="S23" s="62" t="str">
        <x:f>IF(OR(L23="",M23="",M23=0),"",L23/M23)</x:f>
      </x:c>
      <x:c r="T23" s="65" t="str">
        <x:f>IF(OR(L23="",M23="",B23="",M23=0,B23=0),"",L23/(M23*B23))</x:f>
      </x:c>
      <x:c r="U23" s="65" t="str">
        <x:f>IF(OR(Q23="",B23=0),"",Q23/B23)</x:f>
      </x:c>
      <x:c r="V23" s="62" t="str">
        <x:f>IF(OR(Q23="",S23=""),"",Q23-S23)</x:f>
      </x:c>
      <x:c r="W23" s="62" t="str">
        <x:f>IF(OR(Q23="",M23=""),"",Q23*M23)</x:f>
      </x:c>
      <x:c r="X23" s="24" t="str">
        <x:f>IF(COUNTA(B23:M23)=0,"",IF(COUNT(B23:M23)&lt;12,"NEEDS DATA","完整"))</x:f>
      </x:c>
      <x:c r="Y23" s="24"/>
      <x:c r="Z23" s="24"/>
    </x:row>
    <x:row r="24">
      <x:c r="A24" s="42"/>
      <x:c r="B24" s="44"/>
      <x:c r="C24" s="44"/>
      <x:c r="D24" s="45"/>
      <x:c r="E24" s="44"/>
      <x:c r="F24" s="44"/>
      <x:c r="G24" s="44"/>
      <x:c r="H24" s="44"/>
      <x:c r="I24" s="44"/>
      <x:c r="J24" s="44"/>
      <x:c r="K24" s="44"/>
      <x:c r="L24" s="44"/>
      <x:c r="M24" s="45"/>
      <x:c r="N24" s="62" t="str">
        <x:f>IF(B24="","",B24-C24)</x:f>
      </x:c>
      <x:c r="O24" s="62" t="str">
        <x:f>IF(OR(B24="",D24=""),"",B24*D24)</x:f>
      </x:c>
      <x:c r="P24" s="62" t="str">
        <x:f>IF(COUNT(E24:K24)&lt;7,"",SUM(E24:K24))</x:f>
      </x:c>
      <x:c r="Q24" s="62" t="str">
        <x:f>IF(OR(N24="",O24="",P24=""),"",N24-O24-P24)</x:f>
      </x:c>
      <x:c r="R24" s="65" t="str">
        <x:f>IF(OR(Q24="",B24=0),"",Q24/B24)</x:f>
      </x:c>
      <x:c r="S24" s="62" t="str">
        <x:f>IF(OR(L24="",M24="",M24=0),"",L24/M24)</x:f>
      </x:c>
      <x:c r="T24" s="65" t="str">
        <x:f>IF(OR(L24="",M24="",B24="",M24=0,B24=0),"",L24/(M24*B24))</x:f>
      </x:c>
      <x:c r="U24" s="65" t="str">
        <x:f>IF(OR(Q24="",B24=0),"",Q24/B24)</x:f>
      </x:c>
      <x:c r="V24" s="62" t="str">
        <x:f>IF(OR(Q24="",S24=""),"",Q24-S24)</x:f>
      </x:c>
      <x:c r="W24" s="62" t="str">
        <x:f>IF(OR(Q24="",M24=""),"",Q24*M24)</x:f>
      </x:c>
      <x:c r="X24" s="24" t="str">
        <x:f>IF(COUNTA(B24:M24)=0,"",IF(COUNT(B24:M24)&lt;12,"NEEDS DATA","完整"))</x:f>
      </x:c>
      <x:c r="Y24" s="24"/>
      <x:c r="Z24" s="24"/>
    </x:row>
    <x:row r="25">
      <x:c r="A25" s="42"/>
      <x:c r="B25" s="44"/>
      <x:c r="C25" s="44"/>
      <x:c r="D25" s="45"/>
      <x:c r="E25" s="44"/>
      <x:c r="F25" s="44"/>
      <x:c r="G25" s="44"/>
      <x:c r="H25" s="44"/>
      <x:c r="I25" s="44"/>
      <x:c r="J25" s="44"/>
      <x:c r="K25" s="44"/>
      <x:c r="L25" s="44"/>
      <x:c r="M25" s="45"/>
      <x:c r="N25" s="62" t="str">
        <x:f>IF(B25="","",B25-C25)</x:f>
      </x:c>
      <x:c r="O25" s="62" t="str">
        <x:f>IF(OR(B25="",D25=""),"",B25*D25)</x:f>
      </x:c>
      <x:c r="P25" s="62" t="str">
        <x:f>IF(COUNT(E25:K25)&lt;7,"",SUM(E25:K25))</x:f>
      </x:c>
      <x:c r="Q25" s="62" t="str">
        <x:f>IF(OR(N25="",O25="",P25=""),"",N25-O25-P25)</x:f>
      </x:c>
      <x:c r="R25" s="65" t="str">
        <x:f>IF(OR(Q25="",B25=0),"",Q25/B25)</x:f>
      </x:c>
      <x:c r="S25" s="62" t="str">
        <x:f>IF(OR(L25="",M25="",M25=0),"",L25/M25)</x:f>
      </x:c>
      <x:c r="T25" s="65" t="str">
        <x:f>IF(OR(L25="",M25="",B25="",M25=0,B25=0),"",L25/(M25*B25))</x:f>
      </x:c>
      <x:c r="U25" s="65" t="str">
        <x:f>IF(OR(Q25="",B25=0),"",Q25/B25)</x:f>
      </x:c>
      <x:c r="V25" s="62" t="str">
        <x:f>IF(OR(Q25="",S25=""),"",Q25-S25)</x:f>
      </x:c>
      <x:c r="W25" s="62" t="str">
        <x:f>IF(OR(Q25="",M25=""),"",Q25*M25)</x:f>
      </x:c>
      <x:c r="X25" s="24" t="str">
        <x:f>IF(COUNTA(B25:M25)=0,"",IF(COUNT(B25:M25)&lt;12,"NEEDS DATA","完整"))</x:f>
      </x:c>
      <x:c r="Y25" s="24"/>
      <x:c r="Z25" s="24"/>
    </x:row>
    <x:row r="26">
      <x:c r="A26" s="42"/>
      <x:c r="B26" s="44"/>
      <x:c r="C26" s="44"/>
      <x:c r="D26" s="45"/>
      <x:c r="E26" s="44"/>
      <x:c r="F26" s="44"/>
      <x:c r="G26" s="44"/>
      <x:c r="H26" s="44"/>
      <x:c r="I26" s="44"/>
      <x:c r="J26" s="44"/>
      <x:c r="K26" s="44"/>
      <x:c r="L26" s="44"/>
      <x:c r="M26" s="45"/>
      <x:c r="N26" s="62" t="str">
        <x:f>IF(B26="","",B26-C26)</x:f>
      </x:c>
      <x:c r="O26" s="62" t="str">
        <x:f>IF(OR(B26="",D26=""),"",B26*D26)</x:f>
      </x:c>
      <x:c r="P26" s="62" t="str">
        <x:f>IF(COUNT(E26:K26)&lt;7,"",SUM(E26:K26))</x:f>
      </x:c>
      <x:c r="Q26" s="62" t="str">
        <x:f>IF(OR(N26="",O26="",P26=""),"",N26-O26-P26)</x:f>
      </x:c>
      <x:c r="R26" s="65" t="str">
        <x:f>IF(OR(Q26="",B26=0),"",Q26/B26)</x:f>
      </x:c>
      <x:c r="S26" s="62" t="str">
        <x:f>IF(OR(L26="",M26="",M26=0),"",L26/M26)</x:f>
      </x:c>
      <x:c r="T26" s="65" t="str">
        <x:f>IF(OR(L26="",M26="",B26="",M26=0,B26=0),"",L26/(M26*B26))</x:f>
      </x:c>
      <x:c r="U26" s="65" t="str">
        <x:f>IF(OR(Q26="",B26=0),"",Q26/B26)</x:f>
      </x:c>
      <x:c r="V26" s="62" t="str">
        <x:f>IF(OR(Q26="",S26=""),"",Q26-S26)</x:f>
      </x:c>
      <x:c r="W26" s="62" t="str">
        <x:f>IF(OR(Q26="",M26=""),"",Q26*M26)</x:f>
      </x:c>
      <x:c r="X26" s="24" t="str">
        <x:f>IF(COUNTA(B26:M26)=0,"",IF(COUNT(B26:M26)&lt;12,"NEEDS DATA","完整"))</x:f>
      </x:c>
      <x:c r="Y26" s="24"/>
      <x:c r="Z26" s="24"/>
    </x:row>
    <x:row r="27">
      <x:c r="A27" s="42"/>
      <x:c r="B27" s="44"/>
      <x:c r="C27" s="44"/>
      <x:c r="D27" s="45"/>
      <x:c r="E27" s="44"/>
      <x:c r="F27" s="44"/>
      <x:c r="G27" s="44"/>
      <x:c r="H27" s="44"/>
      <x:c r="I27" s="44"/>
      <x:c r="J27" s="44"/>
      <x:c r="K27" s="44"/>
      <x:c r="L27" s="44"/>
      <x:c r="M27" s="45"/>
      <x:c r="N27" s="62" t="str">
        <x:f>IF(B27="","",B27-C27)</x:f>
      </x:c>
      <x:c r="O27" s="62" t="str">
        <x:f>IF(OR(B27="",D27=""),"",B27*D27)</x:f>
      </x:c>
      <x:c r="P27" s="62" t="str">
        <x:f>IF(COUNT(E27:K27)&lt;7,"",SUM(E27:K27))</x:f>
      </x:c>
      <x:c r="Q27" s="62" t="str">
        <x:f>IF(OR(N27="",O27="",P27=""),"",N27-O27-P27)</x:f>
      </x:c>
      <x:c r="R27" s="65" t="str">
        <x:f>IF(OR(Q27="",B27=0),"",Q27/B27)</x:f>
      </x:c>
      <x:c r="S27" s="62" t="str">
        <x:f>IF(OR(L27="",M27="",M27=0),"",L27/M27)</x:f>
      </x:c>
      <x:c r="T27" s="65" t="str">
        <x:f>IF(OR(L27="",M27="",B27="",M27=0,B27=0),"",L27/(M27*B27))</x:f>
      </x:c>
      <x:c r="U27" s="65" t="str">
        <x:f>IF(OR(Q27="",B27=0),"",Q27/B27)</x:f>
      </x:c>
      <x:c r="V27" s="62" t="str">
        <x:f>IF(OR(Q27="",S27=""),"",Q27-S27)</x:f>
      </x:c>
      <x:c r="W27" s="62" t="str">
        <x:f>IF(OR(Q27="",M27=""),"",Q27*M27)</x:f>
      </x:c>
      <x:c r="X27" s="24" t="str">
        <x:f>IF(COUNTA(B27:M27)=0,"",IF(COUNT(B27:M27)&lt;12,"NEEDS DATA","完整"))</x:f>
      </x:c>
      <x:c r="Y27" s="24"/>
      <x:c r="Z27" s="24"/>
    </x:row>
    <x:row r="28">
      <x:c r="A28" s="42"/>
      <x:c r="B28" s="44"/>
      <x:c r="C28" s="44"/>
      <x:c r="D28" s="45"/>
      <x:c r="E28" s="44"/>
      <x:c r="F28" s="44"/>
      <x:c r="G28" s="44"/>
      <x:c r="H28" s="44"/>
      <x:c r="I28" s="44"/>
      <x:c r="J28" s="44"/>
      <x:c r="K28" s="44"/>
      <x:c r="L28" s="44"/>
      <x:c r="M28" s="45"/>
      <x:c r="N28" s="62" t="str">
        <x:f>IF(B28="","",B28-C28)</x:f>
      </x:c>
      <x:c r="O28" s="62" t="str">
        <x:f>IF(OR(B28="",D28=""),"",B28*D28)</x:f>
      </x:c>
      <x:c r="P28" s="62" t="str">
        <x:f>IF(COUNT(E28:K28)&lt;7,"",SUM(E28:K28))</x:f>
      </x:c>
      <x:c r="Q28" s="62" t="str">
        <x:f>IF(OR(N28="",O28="",P28=""),"",N28-O28-P28)</x:f>
      </x:c>
      <x:c r="R28" s="65" t="str">
        <x:f>IF(OR(Q28="",B28=0),"",Q28/B28)</x:f>
      </x:c>
      <x:c r="S28" s="62" t="str">
        <x:f>IF(OR(L28="",M28="",M28=0),"",L28/M28)</x:f>
      </x:c>
      <x:c r="T28" s="65" t="str">
        <x:f>IF(OR(L28="",M28="",B28="",M28=0,B28=0),"",L28/(M28*B28))</x:f>
      </x:c>
      <x:c r="U28" s="65" t="str">
        <x:f>IF(OR(Q28="",B28=0),"",Q28/B28)</x:f>
      </x:c>
      <x:c r="V28" s="62" t="str">
        <x:f>IF(OR(Q28="",S28=""),"",Q28-S28)</x:f>
      </x:c>
      <x:c r="W28" s="62" t="str">
        <x:f>IF(OR(Q28="",M28=""),"",Q28*M28)</x:f>
      </x:c>
      <x:c r="X28" s="24" t="str">
        <x:f>IF(COUNTA(B28:M28)=0,"",IF(COUNT(B28:M28)&lt;12,"NEEDS DATA","完整"))</x:f>
      </x:c>
      <x:c r="Y28" s="24"/>
      <x:c r="Z28" s="24"/>
    </x:row>
    <x:row r="29">
      <x:c r="A29" s="42"/>
      <x:c r="B29" s="44"/>
      <x:c r="C29" s="44"/>
      <x:c r="D29" s="45"/>
      <x:c r="E29" s="44"/>
      <x:c r="F29" s="44"/>
      <x:c r="G29" s="44"/>
      <x:c r="H29" s="44"/>
      <x:c r="I29" s="44"/>
      <x:c r="J29" s="44"/>
      <x:c r="K29" s="44"/>
      <x:c r="L29" s="44"/>
      <x:c r="M29" s="45"/>
      <x:c r="N29" s="62" t="str">
        <x:f>IF(B29="","",B29-C29)</x:f>
      </x:c>
      <x:c r="O29" s="62" t="str">
        <x:f>IF(OR(B29="",D29=""),"",B29*D29)</x:f>
      </x:c>
      <x:c r="P29" s="62" t="str">
        <x:f>IF(COUNT(E29:K29)&lt;7,"",SUM(E29:K29))</x:f>
      </x:c>
      <x:c r="Q29" s="62" t="str">
        <x:f>IF(OR(N29="",O29="",P29=""),"",N29-O29-P29)</x:f>
      </x:c>
      <x:c r="R29" s="65" t="str">
        <x:f>IF(OR(Q29="",B29=0),"",Q29/B29)</x:f>
      </x:c>
      <x:c r="S29" s="62" t="str">
        <x:f>IF(OR(L29="",M29="",M29=0),"",L29/M29)</x:f>
      </x:c>
      <x:c r="T29" s="65" t="str">
        <x:f>IF(OR(L29="",M29="",B29="",M29=0,B29=0),"",L29/(M29*B29))</x:f>
      </x:c>
      <x:c r="U29" s="65" t="str">
        <x:f>IF(OR(Q29="",B29=0),"",Q29/B29)</x:f>
      </x:c>
      <x:c r="V29" s="62" t="str">
        <x:f>IF(OR(Q29="",S29=""),"",Q29-S29)</x:f>
      </x:c>
      <x:c r="W29" s="62" t="str">
        <x:f>IF(OR(Q29="",M29=""),"",Q29*M29)</x:f>
      </x:c>
      <x:c r="X29" s="24" t="str">
        <x:f>IF(COUNTA(B29:M29)=0,"",IF(COUNT(B29:M29)&lt;12,"NEEDS DATA","完整"))</x:f>
      </x:c>
      <x:c r="Y29" s="24"/>
      <x:c r="Z29" s="24"/>
    </x:row>
    <x:row r="30">
      <x:c r="A30" s="42"/>
      <x:c r="B30" s="44"/>
      <x:c r="C30" s="44"/>
      <x:c r="D30" s="45"/>
      <x:c r="E30" s="44"/>
      <x:c r="F30" s="44"/>
      <x:c r="G30" s="44"/>
      <x:c r="H30" s="44"/>
      <x:c r="I30" s="44"/>
      <x:c r="J30" s="44"/>
      <x:c r="K30" s="44"/>
      <x:c r="L30" s="44"/>
      <x:c r="M30" s="45"/>
      <x:c r="N30" s="62" t="str">
        <x:f>IF(B30="","",B30-C30)</x:f>
      </x:c>
      <x:c r="O30" s="62" t="str">
        <x:f>IF(OR(B30="",D30=""),"",B30*D30)</x:f>
      </x:c>
      <x:c r="P30" s="62" t="str">
        <x:f>IF(COUNT(E30:K30)&lt;7,"",SUM(E30:K30))</x:f>
      </x:c>
      <x:c r="Q30" s="62" t="str">
        <x:f>IF(OR(N30="",O30="",P30=""),"",N30-O30-P30)</x:f>
      </x:c>
      <x:c r="R30" s="65" t="str">
        <x:f>IF(OR(Q30="",B30=0),"",Q30/B30)</x:f>
      </x:c>
      <x:c r="S30" s="62" t="str">
        <x:f>IF(OR(L30="",M30="",M30=0),"",L30/M30)</x:f>
      </x:c>
      <x:c r="T30" s="65" t="str">
        <x:f>IF(OR(L30="",M30="",B30="",M30=0,B30=0),"",L30/(M30*B30))</x:f>
      </x:c>
      <x:c r="U30" s="65" t="str">
        <x:f>IF(OR(Q30="",B30=0),"",Q30/B30)</x:f>
      </x:c>
      <x:c r="V30" s="62" t="str">
        <x:f>IF(OR(Q30="",S30=""),"",Q30-S30)</x:f>
      </x:c>
      <x:c r="W30" s="62" t="str">
        <x:f>IF(OR(Q30="",M30=""),"",Q30*M30)</x:f>
      </x:c>
      <x:c r="X30" s="24" t="str">
        <x:f>IF(COUNTA(B30:M30)=0,"",IF(COUNT(B30:M30)&lt;12,"NEEDS DATA","完整"))</x:f>
      </x:c>
      <x:c r="Y30" s="24"/>
      <x:c r="Z30" s="24"/>
    </x:row>
    <x:row r="31">
      <x:c r="A31" s="42"/>
      <x:c r="B31" s="44"/>
      <x:c r="C31" s="44"/>
      <x:c r="D31" s="45"/>
      <x:c r="E31" s="44"/>
      <x:c r="F31" s="44"/>
      <x:c r="G31" s="44"/>
      <x:c r="H31" s="44"/>
      <x:c r="I31" s="44"/>
      <x:c r="J31" s="44"/>
      <x:c r="K31" s="44"/>
      <x:c r="L31" s="44"/>
      <x:c r="M31" s="45"/>
      <x:c r="N31" s="62" t="str">
        <x:f>IF(B31="","",B31-C31)</x:f>
      </x:c>
      <x:c r="O31" s="62" t="str">
        <x:f>IF(OR(B31="",D31=""),"",B31*D31)</x:f>
      </x:c>
      <x:c r="P31" s="62" t="str">
        <x:f>IF(COUNT(E31:K31)&lt;7,"",SUM(E31:K31))</x:f>
      </x:c>
      <x:c r="Q31" s="62" t="str">
        <x:f>IF(OR(N31="",O31="",P31=""),"",N31-O31-P31)</x:f>
      </x:c>
      <x:c r="R31" s="65" t="str">
        <x:f>IF(OR(Q31="",B31=0),"",Q31/B31)</x:f>
      </x:c>
      <x:c r="S31" s="62" t="str">
        <x:f>IF(OR(L31="",M31="",M31=0),"",L31/M31)</x:f>
      </x:c>
      <x:c r="T31" s="65" t="str">
        <x:f>IF(OR(L31="",M31="",B31="",M31=0,B31=0),"",L31/(M31*B31))</x:f>
      </x:c>
      <x:c r="U31" s="65" t="str">
        <x:f>IF(OR(Q31="",B31=0),"",Q31/B31)</x:f>
      </x:c>
      <x:c r="V31" s="62" t="str">
        <x:f>IF(OR(Q31="",S31=""),"",Q31-S31)</x:f>
      </x:c>
      <x:c r="W31" s="62" t="str">
        <x:f>IF(OR(Q31="",M31=""),"",Q31*M31)</x:f>
      </x:c>
      <x:c r="X31" s="24" t="str">
        <x:f>IF(COUNTA(B31:M31)=0,"",IF(COUNT(B31:M31)&lt;12,"NEEDS DATA","完整"))</x:f>
      </x:c>
      <x:c r="Y31" s="24"/>
      <x:c r="Z31" s="24"/>
    </x:row>
    <x:row r="32">
      <x:c r="A32" s="43"/>
      <x:c r="B32" s="58"/>
      <x:c r="C32" s="58"/>
      <x:c r="D32" s="60"/>
      <x:c r="E32" s="58"/>
      <x:c r="F32" s="58"/>
      <x:c r="G32" s="58"/>
      <x:c r="H32" s="58"/>
      <x:c r="I32" s="58"/>
      <x:c r="J32" s="58"/>
      <x:c r="K32" s="58"/>
      <x:c r="L32" s="58"/>
      <x:c r="M32" s="60"/>
      <x:c r="N32" s="63" t="str">
        <x:f>IF(B32="","",B32-C32)</x:f>
      </x:c>
      <x:c r="O32" s="63" t="str">
        <x:f>IF(OR(B32="",D32=""),"",B32*D32)</x:f>
      </x:c>
      <x:c r="P32" s="63" t="str">
        <x:f>IF(COUNT(E32:K32)&lt;7,"",SUM(E32:K32))</x:f>
      </x:c>
      <x:c r="Q32" s="63" t="str">
        <x:f>IF(OR(N32="",O32="",P32=""),"",N32-O32-P32)</x:f>
      </x:c>
      <x:c r="R32" s="66" t="str">
        <x:f>IF(OR(Q32="",B32=0),"",Q32/B32)</x:f>
      </x:c>
      <x:c r="S32" s="63" t="str">
        <x:f>IF(OR(L32="",M32="",M32=0),"",L32/M32)</x:f>
      </x:c>
      <x:c r="T32" s="66" t="str">
        <x:f>IF(OR(L32="",M32="",B32="",M32=0,B32=0),"",L32/(M32*B32))</x:f>
      </x:c>
      <x:c r="U32" s="66" t="str">
        <x:f>IF(OR(Q32="",B32=0),"",Q32/B32)</x:f>
      </x:c>
      <x:c r="V32" s="63" t="str">
        <x:f>IF(OR(Q32="",S32=""),"",Q32-S32)</x:f>
      </x:c>
      <x:c r="W32" s="63" t="str">
        <x:f>IF(OR(Q32="",M32=""),"",Q32*M32)</x:f>
      </x:c>
      <x:c r="X32" s="26" t="str">
        <x:f>IF(COUNTA(B32:M32)=0,"",IF(COUNT(B32:M32)&lt;12,"NEEDS DATA","完整"))</x:f>
      </x:c>
      <x:c r="Y32" s="26"/>
      <x:c r="Z32" s="26"/>
    </x:row>
  </x:sheetData>
  <x:mergeCells>
    <x:mergeCell ref="A1:Z1"/>
  </x:mergeCells>
  <x:conditionalFormatting sqref="X3:X32">
    <x:cfRule type="containsText" dxfId="1" priority="1" operator="containsText" text="NEEDS DATA"/>
  </x:conditionalFormatting>
  <x:dataValidations count="1">
    <x:dataValidation type="textLength" operator="between" sqref="A3:A32">
      <x:formula1>1</x:formula1>
      <x:formula2>40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5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9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38" hidden="0" customWidth="1"/>
    <x:col min="17" max="17" width="38" hidden="0" customWidth="1"/>
    <x:col min="18" max="18" width="14" hidden="0" customWidth="1"/>
    <x:col min="19" max="19" width="42" hidden="0" customWidth="1"/>
    <x:col min="20" max="20" width="42" hidden="0" customWidth="1"/>
    <x:col min="21" max="21" width="24" hidden="0" customWidth="1"/>
    <x:col min="22" max="22" width="24" hidden="0" customWidth="1"/>
    <x:col min="23" max="23" width="24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1" customHeight="1">
      <x:c r="A1" s="4" t="str">
        <x:v>统一候选总表｜六道门槛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0" customHeight="1">
      <x:c r="A2" s="38" t="str">
        <x:v>ID</x:v>
      </x:c>
      <x:c r="B2" s="39" t="str">
        <x:v>产品方向</x:v>
      </x:c>
      <x:c r="C2" s="39" t="str">
        <x:v>产品签名</x:v>
      </x:c>
      <x:c r="D2" s="39" t="str">
        <x:v>经营池</x:v>
      </x:c>
      <x:c r="E2" s="39" t="str">
        <x:v>发现方法</x:v>
      </x:c>
      <x:c r="F2" s="39" t="str">
        <x:v>代表ASIN</x:v>
      </x:c>
      <x:c r="G2" s="39" t="str">
        <x:v>1688 Offer</x:v>
      </x:c>
      <x:c r="H2" s="39" t="str">
        <x:v>目标售价</x:v>
      </x:c>
      <x:c r="I2" s="39" t="str">
        <x:v>预设测试量</x:v>
      </x:c>
      <x:c r="J2" s="39" t="str">
        <x:v>需求门</x:v>
      </x:c>
      <x:c r="K2" s="39" t="str">
        <x:v>供给门</x:v>
      </x:c>
      <x:c r="L2" s="39" t="str">
        <x:v>流量门</x:v>
      </x:c>
      <x:c r="M2" s="39" t="str">
        <x:v>利润门</x:v>
      </x:c>
      <x:c r="N2" s="39" t="str">
        <x:v>供应链门</x:v>
      </x:c>
      <x:c r="O2" s="39" t="str">
        <x:v>IP门</x:v>
      </x:c>
      <x:c r="P2" s="39" t="str">
        <x:v>决定性证据/问题</x:v>
      </x:c>
      <x:c r="Q2" s="39" t="str">
        <x:v>下一步</x:v>
      </x:c>
      <x:c r="R2" s="39" t="str">
        <x:v>证据日期</x:v>
      </x:c>
      <x:c r="S2" s="39" t="str">
        <x:v>来源1</x:v>
      </x:c>
      <x:c r="T2" s="39" t="str">
        <x:v>来源2</x:v>
      </x:c>
      <x:c r="U2" s="39" t="str">
        <x:v>数据限制</x:v>
      </x:c>
      <x:c r="V2" s="39" t="str">
        <x:v>置信度</x:v>
      </x:c>
      <x:c r="W2" s="39" t="str">
        <x:v>最终状态</x:v>
      </x:c>
      <x:c r="X2" s="39" t="str">
        <x:v>方法数</x:v>
      </x:c>
      <x:c r="Y2" s="39" t="str">
        <x:v>待验门数</x:v>
      </x:c>
      <x:c r="Z2" s="40" t="str">
        <x:v>致命门数</x:v>
      </x:c>
    </x:row>
    <x:row r="3">
      <x:c r="A3" s="41"/>
      <x:c r="B3" s="41"/>
      <x:c r="C3" s="41"/>
      <x:c r="D3" s="41"/>
      <x:c r="E3" s="41"/>
      <x:c r="F3" s="89"/>
      <x:c r="G3" s="90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54" t="str">
        <x:f>IF(A3="","",IF(COUNTIF(J3:O3,"不通过")&gt;0,"淘汰",IF(COUNTIF(J3:O3,"待验证")&gt;0,"优先补数据",IF(COUNTIF(J3:O3,"部分验证")&gt;0,"监控","值得打样"))))</x:f>
      </x:c>
      <x:c r="X3" s="54" t="str">
        <x:f>IF(A3="","",IF(E3="",0,LEN(E3)-LEN(SUBSTITUTE(E3,"；",""))+1))</x:f>
      </x:c>
      <x:c r="Y3" s="54" t="str">
        <x:f>IF(A3="","",COUNTIF(J3:O3,"待验证"))</x:f>
      </x:c>
      <x:c r="Z3" s="54" t="str">
        <x:f>IF(A3="","",COUNTIF(J3:O3,"不通过"))</x:f>
      </x:c>
    </x:row>
    <x:row r="4">
      <x:c r="A4" s="42"/>
      <x:c r="B4" s="42"/>
      <x:c r="C4" s="42"/>
      <x:c r="D4" s="42"/>
      <x:c r="E4" s="42"/>
      <x:c r="F4" s="91"/>
      <x:c r="G4" s="9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55" t="str">
        <x:f>IF(A4="","",IF(COUNTIF(J4:O4,"不通过")&gt;0,"淘汰",IF(COUNTIF(J4:O4,"待验证")&gt;0,"优先补数据",IF(COUNTIF(J4:O4,"部分验证")&gt;0,"监控","值得打样"))))</x:f>
      </x:c>
      <x:c r="X4" s="55" t="str">
        <x:f>IF(A4="","",IF(E4="",0,LEN(E4)-LEN(SUBSTITUTE(E4,"；",""))+1))</x:f>
      </x:c>
      <x:c r="Y4" s="55" t="str">
        <x:f>IF(A4="","",COUNTIF(J4:O4,"待验证"))</x:f>
      </x:c>
      <x:c r="Z4" s="55" t="str">
        <x:f>IF(A4="","",COUNTIF(J4:O4,"不通过"))</x:f>
      </x:c>
    </x:row>
    <x:row r="5">
      <x:c r="A5" s="42"/>
      <x:c r="B5" s="42"/>
      <x:c r="C5" s="42"/>
      <x:c r="D5" s="42"/>
      <x:c r="E5" s="42"/>
      <x:c r="F5" s="91"/>
      <x:c r="G5" s="9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55" t="str">
        <x:f>IF(A5="","",IF(COUNTIF(J5:O5,"不通过")&gt;0,"淘汰",IF(COUNTIF(J5:O5,"待验证")&gt;0,"优先补数据",IF(COUNTIF(J5:O5,"部分验证")&gt;0,"监控","值得打样"))))</x:f>
      </x:c>
      <x:c r="X5" s="55" t="str">
        <x:f>IF(A5="","",IF(E5="",0,LEN(E5)-LEN(SUBSTITUTE(E5,"；",""))+1))</x:f>
      </x:c>
      <x:c r="Y5" s="55" t="str">
        <x:f>IF(A5="","",COUNTIF(J5:O5,"待验证"))</x:f>
      </x:c>
      <x:c r="Z5" s="55" t="str">
        <x:f>IF(A5="","",COUNTIF(J5:O5,"不通过"))</x:f>
      </x:c>
    </x:row>
    <x:row r="6">
      <x:c r="A6" s="42"/>
      <x:c r="B6" s="42"/>
      <x:c r="C6" s="42"/>
      <x:c r="D6" s="42"/>
      <x:c r="E6" s="42"/>
      <x:c r="F6" s="91"/>
      <x:c r="G6" s="9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55" t="str">
        <x:f>IF(A6="","",IF(COUNTIF(J6:O6,"不通过")&gt;0,"淘汰",IF(COUNTIF(J6:O6,"待验证")&gt;0,"优先补数据",IF(COUNTIF(J6:O6,"部分验证")&gt;0,"监控","值得打样"))))</x:f>
      </x:c>
      <x:c r="X6" s="55" t="str">
        <x:f>IF(A6="","",IF(E6="",0,LEN(E6)-LEN(SUBSTITUTE(E6,"；",""))+1))</x:f>
      </x:c>
      <x:c r="Y6" s="55" t="str">
        <x:f>IF(A6="","",COUNTIF(J6:O6,"待验证"))</x:f>
      </x:c>
      <x:c r="Z6" s="55" t="str">
        <x:f>IF(A6="","",COUNTIF(J6:O6,"不通过"))</x:f>
      </x:c>
    </x:row>
    <x:row r="7">
      <x:c r="A7" s="42"/>
      <x:c r="B7" s="42"/>
      <x:c r="C7" s="42"/>
      <x:c r="D7" s="42"/>
      <x:c r="E7" s="42"/>
      <x:c r="F7" s="91"/>
      <x:c r="G7" s="9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55" t="str">
        <x:f>IF(A7="","",IF(COUNTIF(J7:O7,"不通过")&gt;0,"淘汰",IF(COUNTIF(J7:O7,"待验证")&gt;0,"优先补数据",IF(COUNTIF(J7:O7,"部分验证")&gt;0,"监控","值得打样"))))</x:f>
      </x:c>
      <x:c r="X7" s="55" t="str">
        <x:f>IF(A7="","",IF(E7="",0,LEN(E7)-LEN(SUBSTITUTE(E7,"；",""))+1))</x:f>
      </x:c>
      <x:c r="Y7" s="55" t="str">
        <x:f>IF(A7="","",COUNTIF(J7:O7,"待验证"))</x:f>
      </x:c>
      <x:c r="Z7" s="55" t="str">
        <x:f>IF(A7="","",COUNTIF(J7:O7,"不通过"))</x:f>
      </x:c>
    </x:row>
    <x:row r="8">
      <x:c r="A8" s="42"/>
      <x:c r="B8" s="42"/>
      <x:c r="C8" s="42"/>
      <x:c r="D8" s="42"/>
      <x:c r="E8" s="42"/>
      <x:c r="F8" s="91"/>
      <x:c r="G8" s="9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55" t="str">
        <x:f>IF(A8="","",IF(COUNTIF(J8:O8,"不通过")&gt;0,"淘汰",IF(COUNTIF(J8:O8,"待验证")&gt;0,"优先补数据",IF(COUNTIF(J8:O8,"部分验证")&gt;0,"监控","值得打样"))))</x:f>
      </x:c>
      <x:c r="X8" s="55" t="str">
        <x:f>IF(A8="","",IF(E8="",0,LEN(E8)-LEN(SUBSTITUTE(E8,"；",""))+1))</x:f>
      </x:c>
      <x:c r="Y8" s="55" t="str">
        <x:f>IF(A8="","",COUNTIF(J8:O8,"待验证"))</x:f>
      </x:c>
      <x:c r="Z8" s="55" t="str">
        <x:f>IF(A8="","",COUNTIF(J8:O8,"不通过"))</x:f>
      </x:c>
    </x:row>
    <x:row r="9">
      <x:c r="A9" s="42"/>
      <x:c r="B9" s="42"/>
      <x:c r="C9" s="42"/>
      <x:c r="D9" s="42"/>
      <x:c r="E9" s="42"/>
      <x:c r="F9" s="91"/>
      <x:c r="G9" s="9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55" t="str">
        <x:f>IF(A9="","",IF(COUNTIF(J9:O9,"不通过")&gt;0,"淘汰",IF(COUNTIF(J9:O9,"待验证")&gt;0,"优先补数据",IF(COUNTIF(J9:O9,"部分验证")&gt;0,"监控","值得打样"))))</x:f>
      </x:c>
      <x:c r="X9" s="55" t="str">
        <x:f>IF(A9="","",IF(E9="",0,LEN(E9)-LEN(SUBSTITUTE(E9,"；",""))+1))</x:f>
      </x:c>
      <x:c r="Y9" s="55" t="str">
        <x:f>IF(A9="","",COUNTIF(J9:O9,"待验证"))</x:f>
      </x:c>
      <x:c r="Z9" s="55" t="str">
        <x:f>IF(A9="","",COUNTIF(J9:O9,"不通过"))</x:f>
      </x:c>
    </x:row>
    <x:row r="10">
      <x:c r="A10" s="42"/>
      <x:c r="B10" s="42"/>
      <x:c r="C10" s="42"/>
      <x:c r="D10" s="42"/>
      <x:c r="E10" s="42"/>
      <x:c r="F10" s="91"/>
      <x:c r="G10" s="9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55" t="str">
        <x:f>IF(A10="","",IF(COUNTIF(J10:O10,"不通过")&gt;0,"淘汰",IF(COUNTIF(J10:O10,"待验证")&gt;0,"优先补数据",IF(COUNTIF(J10:O10,"部分验证")&gt;0,"监控","值得打样"))))</x:f>
      </x:c>
      <x:c r="X10" s="55" t="str">
        <x:f>IF(A10="","",IF(E10="",0,LEN(E10)-LEN(SUBSTITUTE(E10,"；",""))+1))</x:f>
      </x:c>
      <x:c r="Y10" s="55" t="str">
        <x:f>IF(A10="","",COUNTIF(J10:O10,"待验证"))</x:f>
      </x:c>
      <x:c r="Z10" s="55" t="str">
        <x:f>IF(A10="","",COUNTIF(J10:O10,"不通过"))</x:f>
      </x:c>
    </x:row>
    <x:row r="11">
      <x:c r="A11" s="42"/>
      <x:c r="B11" s="42"/>
      <x:c r="C11" s="42"/>
      <x:c r="D11" s="42"/>
      <x:c r="E11" s="42"/>
      <x:c r="F11" s="91"/>
      <x:c r="G11" s="9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55" t="str">
        <x:f>IF(A11="","",IF(COUNTIF(J11:O11,"不通过")&gt;0,"淘汰",IF(COUNTIF(J11:O11,"待验证")&gt;0,"优先补数据",IF(COUNTIF(J11:O11,"部分验证")&gt;0,"监控","值得打样"))))</x:f>
      </x:c>
      <x:c r="X11" s="55" t="str">
        <x:f>IF(A11="","",IF(E11="",0,LEN(E11)-LEN(SUBSTITUTE(E11,"；",""))+1))</x:f>
      </x:c>
      <x:c r="Y11" s="55" t="str">
        <x:f>IF(A11="","",COUNTIF(J11:O11,"待验证"))</x:f>
      </x:c>
      <x:c r="Z11" s="55" t="str">
        <x:f>IF(A11="","",COUNTIF(J11:O11,"不通过"))</x:f>
      </x:c>
    </x:row>
    <x:row r="12">
      <x:c r="A12" s="42"/>
      <x:c r="B12" s="42"/>
      <x:c r="C12" s="42"/>
      <x:c r="D12" s="42"/>
      <x:c r="E12" s="42"/>
      <x:c r="F12" s="91"/>
      <x:c r="G12" s="9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55" t="str">
        <x:f>IF(A12="","",IF(COUNTIF(J12:O12,"不通过")&gt;0,"淘汰",IF(COUNTIF(J12:O12,"待验证")&gt;0,"优先补数据",IF(COUNTIF(J12:O12,"部分验证")&gt;0,"监控","值得打样"))))</x:f>
      </x:c>
      <x:c r="X12" s="55" t="str">
        <x:f>IF(A12="","",IF(E12="",0,LEN(E12)-LEN(SUBSTITUTE(E12,"；",""))+1))</x:f>
      </x:c>
      <x:c r="Y12" s="55" t="str">
        <x:f>IF(A12="","",COUNTIF(J12:O12,"待验证"))</x:f>
      </x:c>
      <x:c r="Z12" s="55" t="str">
        <x:f>IF(A12="","",COUNTIF(J12:O12,"不通过"))</x:f>
      </x:c>
    </x:row>
    <x:row r="13">
      <x:c r="A13" s="42"/>
      <x:c r="B13" s="42"/>
      <x:c r="C13" s="42"/>
      <x:c r="D13" s="42"/>
      <x:c r="E13" s="42"/>
      <x:c r="F13" s="91"/>
      <x:c r="G13" s="9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55" t="str">
        <x:f>IF(A13="","",IF(COUNTIF(J13:O13,"不通过")&gt;0,"淘汰",IF(COUNTIF(J13:O13,"待验证")&gt;0,"优先补数据",IF(COUNTIF(J13:O13,"部分验证")&gt;0,"监控","值得打样"))))</x:f>
      </x:c>
      <x:c r="X13" s="55" t="str">
        <x:f>IF(A13="","",IF(E13="",0,LEN(E13)-LEN(SUBSTITUTE(E13,"；",""))+1))</x:f>
      </x:c>
      <x:c r="Y13" s="55" t="str">
        <x:f>IF(A13="","",COUNTIF(J13:O13,"待验证"))</x:f>
      </x:c>
      <x:c r="Z13" s="55" t="str">
        <x:f>IF(A13="","",COUNTIF(J13:O13,"不通过"))</x:f>
      </x:c>
    </x:row>
    <x:row r="14">
      <x:c r="A14" s="42"/>
      <x:c r="B14" s="42"/>
      <x:c r="C14" s="42"/>
      <x:c r="D14" s="42"/>
      <x:c r="E14" s="42"/>
      <x:c r="F14" s="91"/>
      <x:c r="G14" s="9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55" t="str">
        <x:f>IF(A14="","",IF(COUNTIF(J14:O14,"不通过")&gt;0,"淘汰",IF(COUNTIF(J14:O14,"待验证")&gt;0,"优先补数据",IF(COUNTIF(J14:O14,"部分验证")&gt;0,"监控","值得打样"))))</x:f>
      </x:c>
      <x:c r="X14" s="55" t="str">
        <x:f>IF(A14="","",IF(E14="",0,LEN(E14)-LEN(SUBSTITUTE(E14,"；",""))+1))</x:f>
      </x:c>
      <x:c r="Y14" s="55" t="str">
        <x:f>IF(A14="","",COUNTIF(J14:O14,"待验证"))</x:f>
      </x:c>
      <x:c r="Z14" s="55" t="str">
        <x:f>IF(A14="","",COUNTIF(J14:O14,"不通过"))</x:f>
      </x:c>
    </x:row>
    <x:row r="15">
      <x:c r="A15" s="42"/>
      <x:c r="B15" s="42"/>
      <x:c r="C15" s="42"/>
      <x:c r="D15" s="42"/>
      <x:c r="E15" s="42"/>
      <x:c r="F15" s="91"/>
      <x:c r="G15" s="9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55" t="str">
        <x:f>IF(A15="","",IF(COUNTIF(J15:O15,"不通过")&gt;0,"淘汰",IF(COUNTIF(J15:O15,"待验证")&gt;0,"优先补数据",IF(COUNTIF(J15:O15,"部分验证")&gt;0,"监控","值得打样"))))</x:f>
      </x:c>
      <x:c r="X15" s="55" t="str">
        <x:f>IF(A15="","",IF(E15="",0,LEN(E15)-LEN(SUBSTITUTE(E15,"；",""))+1))</x:f>
      </x:c>
      <x:c r="Y15" s="55" t="str">
        <x:f>IF(A15="","",COUNTIF(J15:O15,"待验证"))</x:f>
      </x:c>
      <x:c r="Z15" s="55" t="str">
        <x:f>IF(A15="","",COUNTIF(J15:O15,"不通过"))</x:f>
      </x:c>
    </x:row>
    <x:row r="16">
      <x:c r="A16" s="42"/>
      <x:c r="B16" s="42"/>
      <x:c r="C16" s="42"/>
      <x:c r="D16" s="42"/>
      <x:c r="E16" s="42"/>
      <x:c r="F16" s="91"/>
      <x:c r="G16" s="9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55" t="str">
        <x:f>IF(A16="","",IF(COUNTIF(J16:O16,"不通过")&gt;0,"淘汰",IF(COUNTIF(J16:O16,"待验证")&gt;0,"优先补数据",IF(COUNTIF(J16:O16,"部分验证")&gt;0,"监控","值得打样"))))</x:f>
      </x:c>
      <x:c r="X16" s="55" t="str">
        <x:f>IF(A16="","",IF(E16="",0,LEN(E16)-LEN(SUBSTITUTE(E16,"；",""))+1))</x:f>
      </x:c>
      <x:c r="Y16" s="55" t="str">
        <x:f>IF(A16="","",COUNTIF(J16:O16,"待验证"))</x:f>
      </x:c>
      <x:c r="Z16" s="55" t="str">
        <x:f>IF(A16="","",COUNTIF(J16:O16,"不通过"))</x:f>
      </x:c>
    </x:row>
    <x:row r="17">
      <x:c r="A17" s="42"/>
      <x:c r="B17" s="42"/>
      <x:c r="C17" s="42"/>
      <x:c r="D17" s="42"/>
      <x:c r="E17" s="42"/>
      <x:c r="F17" s="91"/>
      <x:c r="G17" s="9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55" t="str">
        <x:f>IF(A17="","",IF(COUNTIF(J17:O17,"不通过")&gt;0,"淘汰",IF(COUNTIF(J17:O17,"待验证")&gt;0,"优先补数据",IF(COUNTIF(J17:O17,"部分验证")&gt;0,"监控","值得打样"))))</x:f>
      </x:c>
      <x:c r="X17" s="55" t="str">
        <x:f>IF(A17="","",IF(E17="",0,LEN(E17)-LEN(SUBSTITUTE(E17,"；",""))+1))</x:f>
      </x:c>
      <x:c r="Y17" s="55" t="str">
        <x:f>IF(A17="","",COUNTIF(J17:O17,"待验证"))</x:f>
      </x:c>
      <x:c r="Z17" s="55" t="str">
        <x:f>IF(A17="","",COUNTIF(J17:O17,"不通过"))</x:f>
      </x:c>
    </x:row>
    <x:row r="18">
      <x:c r="A18" s="42"/>
      <x:c r="B18" s="42"/>
      <x:c r="C18" s="42"/>
      <x:c r="D18" s="42"/>
      <x:c r="E18" s="42"/>
      <x:c r="F18" s="91"/>
      <x:c r="G18" s="9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55" t="str">
        <x:f>IF(A18="","",IF(COUNTIF(J18:O18,"不通过")&gt;0,"淘汰",IF(COUNTIF(J18:O18,"待验证")&gt;0,"优先补数据",IF(COUNTIF(J18:O18,"部分验证")&gt;0,"监控","值得打样"))))</x:f>
      </x:c>
      <x:c r="X18" s="55" t="str">
        <x:f>IF(A18="","",IF(E18="",0,LEN(E18)-LEN(SUBSTITUTE(E18,"；",""))+1))</x:f>
      </x:c>
      <x:c r="Y18" s="55" t="str">
        <x:f>IF(A18="","",COUNTIF(J18:O18,"待验证"))</x:f>
      </x:c>
      <x:c r="Z18" s="55" t="str">
        <x:f>IF(A18="","",COUNTIF(J18:O18,"不通过"))</x:f>
      </x:c>
    </x:row>
    <x:row r="19">
      <x:c r="A19" s="42"/>
      <x:c r="B19" s="42"/>
      <x:c r="C19" s="42"/>
      <x:c r="D19" s="42"/>
      <x:c r="E19" s="42"/>
      <x:c r="F19" s="91"/>
      <x:c r="G19" s="9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55" t="str">
        <x:f>IF(A19="","",IF(COUNTIF(J19:O19,"不通过")&gt;0,"淘汰",IF(COUNTIF(J19:O19,"待验证")&gt;0,"优先补数据",IF(COUNTIF(J19:O19,"部分验证")&gt;0,"监控","值得打样"))))</x:f>
      </x:c>
      <x:c r="X19" s="55" t="str">
        <x:f>IF(A19="","",IF(E19="",0,LEN(E19)-LEN(SUBSTITUTE(E19,"；",""))+1))</x:f>
      </x:c>
      <x:c r="Y19" s="55" t="str">
        <x:f>IF(A19="","",COUNTIF(J19:O19,"待验证"))</x:f>
      </x:c>
      <x:c r="Z19" s="55" t="str">
        <x:f>IF(A19="","",COUNTIF(J19:O19,"不通过"))</x:f>
      </x:c>
    </x:row>
    <x:row r="20">
      <x:c r="A20" s="42"/>
      <x:c r="B20" s="42"/>
      <x:c r="C20" s="42"/>
      <x:c r="D20" s="42"/>
      <x:c r="E20" s="42"/>
      <x:c r="F20" s="91"/>
      <x:c r="G20" s="9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55" t="str">
        <x:f>IF(A20="","",IF(COUNTIF(J20:O20,"不通过")&gt;0,"淘汰",IF(COUNTIF(J20:O20,"待验证")&gt;0,"优先补数据",IF(COUNTIF(J20:O20,"部分验证")&gt;0,"监控","值得打样"))))</x:f>
      </x:c>
      <x:c r="X20" s="55" t="str">
        <x:f>IF(A20="","",IF(E20="",0,LEN(E20)-LEN(SUBSTITUTE(E20,"；",""))+1))</x:f>
      </x:c>
      <x:c r="Y20" s="55" t="str">
        <x:f>IF(A20="","",COUNTIF(J20:O20,"待验证"))</x:f>
      </x:c>
      <x:c r="Z20" s="55" t="str">
        <x:f>IF(A20="","",COUNTIF(J20:O20,"不通过"))</x:f>
      </x:c>
    </x:row>
    <x:row r="21">
      <x:c r="A21" s="42"/>
      <x:c r="B21" s="42"/>
      <x:c r="C21" s="42"/>
      <x:c r="D21" s="42"/>
      <x:c r="E21" s="42"/>
      <x:c r="F21" s="91"/>
      <x:c r="G21" s="9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55" t="str">
        <x:f>IF(A21="","",IF(COUNTIF(J21:O21,"不通过")&gt;0,"淘汰",IF(COUNTIF(J21:O21,"待验证")&gt;0,"优先补数据",IF(COUNTIF(J21:O21,"部分验证")&gt;0,"监控","值得打样"))))</x:f>
      </x:c>
      <x:c r="X21" s="55" t="str">
        <x:f>IF(A21="","",IF(E21="",0,LEN(E21)-LEN(SUBSTITUTE(E21,"；",""))+1))</x:f>
      </x:c>
      <x:c r="Y21" s="55" t="str">
        <x:f>IF(A21="","",COUNTIF(J21:O21,"待验证"))</x:f>
      </x:c>
      <x:c r="Z21" s="55" t="str">
        <x:f>IF(A21="","",COUNTIF(J21:O21,"不通过"))</x:f>
      </x:c>
    </x:row>
    <x:row r="22">
      <x:c r="A22" s="42"/>
      <x:c r="B22" s="42"/>
      <x:c r="C22" s="42"/>
      <x:c r="D22" s="42"/>
      <x:c r="E22" s="42"/>
      <x:c r="F22" s="91"/>
      <x:c r="G22" s="9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55" t="str">
        <x:f>IF(A22="","",IF(COUNTIF(J22:O22,"不通过")&gt;0,"淘汰",IF(COUNTIF(J22:O22,"待验证")&gt;0,"优先补数据",IF(COUNTIF(J22:O22,"部分验证")&gt;0,"监控","值得打样"))))</x:f>
      </x:c>
      <x:c r="X22" s="55" t="str">
        <x:f>IF(A22="","",IF(E22="",0,LEN(E22)-LEN(SUBSTITUTE(E22,"；",""))+1))</x:f>
      </x:c>
      <x:c r="Y22" s="55" t="str">
        <x:f>IF(A22="","",COUNTIF(J22:O22,"待验证"))</x:f>
      </x:c>
      <x:c r="Z22" s="55" t="str">
        <x:f>IF(A22="","",COUNTIF(J22:O22,"不通过"))</x:f>
      </x:c>
    </x:row>
    <x:row r="23">
      <x:c r="A23" s="42"/>
      <x:c r="B23" s="42"/>
      <x:c r="C23" s="42"/>
      <x:c r="D23" s="42"/>
      <x:c r="E23" s="42"/>
      <x:c r="F23" s="91"/>
      <x:c r="G23" s="9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55" t="str">
        <x:f>IF(A23="","",IF(COUNTIF(J23:O23,"不通过")&gt;0,"淘汰",IF(COUNTIF(J23:O23,"待验证")&gt;0,"优先补数据",IF(COUNTIF(J23:O23,"部分验证")&gt;0,"监控","值得打样"))))</x:f>
      </x:c>
      <x:c r="X23" s="55" t="str">
        <x:f>IF(A23="","",IF(E23="",0,LEN(E23)-LEN(SUBSTITUTE(E23,"；",""))+1))</x:f>
      </x:c>
      <x:c r="Y23" s="55" t="str">
        <x:f>IF(A23="","",COUNTIF(J23:O23,"待验证"))</x:f>
      </x:c>
      <x:c r="Z23" s="55" t="str">
        <x:f>IF(A23="","",COUNTIF(J23:O23,"不通过"))</x:f>
      </x:c>
    </x:row>
    <x:row r="24">
      <x:c r="A24" s="42"/>
      <x:c r="B24" s="42"/>
      <x:c r="C24" s="42"/>
      <x:c r="D24" s="42"/>
      <x:c r="E24" s="42"/>
      <x:c r="F24" s="91"/>
      <x:c r="G24" s="9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55" t="str">
        <x:f>IF(A24="","",IF(COUNTIF(J24:O24,"不通过")&gt;0,"淘汰",IF(COUNTIF(J24:O24,"待验证")&gt;0,"优先补数据",IF(COUNTIF(J24:O24,"部分验证")&gt;0,"监控","值得打样"))))</x:f>
      </x:c>
      <x:c r="X24" s="55" t="str">
        <x:f>IF(A24="","",IF(E24="",0,LEN(E24)-LEN(SUBSTITUTE(E24,"；",""))+1))</x:f>
      </x:c>
      <x:c r="Y24" s="55" t="str">
        <x:f>IF(A24="","",COUNTIF(J24:O24,"待验证"))</x:f>
      </x:c>
      <x:c r="Z24" s="55" t="str">
        <x:f>IF(A24="","",COUNTIF(J24:O24,"不通过"))</x:f>
      </x:c>
    </x:row>
    <x:row r="25">
      <x:c r="A25" s="42"/>
      <x:c r="B25" s="42"/>
      <x:c r="C25" s="42"/>
      <x:c r="D25" s="42"/>
      <x:c r="E25" s="42"/>
      <x:c r="F25" s="91"/>
      <x:c r="G25" s="9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55" t="str">
        <x:f>IF(A25="","",IF(COUNTIF(J25:O25,"不通过")&gt;0,"淘汰",IF(COUNTIF(J25:O25,"待验证")&gt;0,"优先补数据",IF(COUNTIF(J25:O25,"部分验证")&gt;0,"监控","值得打样"))))</x:f>
      </x:c>
      <x:c r="X25" s="55" t="str">
        <x:f>IF(A25="","",IF(E25="",0,LEN(E25)-LEN(SUBSTITUTE(E25,"；",""))+1))</x:f>
      </x:c>
      <x:c r="Y25" s="55" t="str">
        <x:f>IF(A25="","",COUNTIF(J25:O25,"待验证"))</x:f>
      </x:c>
      <x:c r="Z25" s="55" t="str">
        <x:f>IF(A25="","",COUNTIF(J25:O25,"不通过"))</x:f>
      </x:c>
    </x:row>
    <x:row r="26">
      <x:c r="A26" s="42"/>
      <x:c r="B26" s="42"/>
      <x:c r="C26" s="42"/>
      <x:c r="D26" s="42"/>
      <x:c r="E26" s="42"/>
      <x:c r="F26" s="91"/>
      <x:c r="G26" s="9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55" t="str">
        <x:f>IF(A26="","",IF(COUNTIF(J26:O26,"不通过")&gt;0,"淘汰",IF(COUNTIF(J26:O26,"待验证")&gt;0,"优先补数据",IF(COUNTIF(J26:O26,"部分验证")&gt;0,"监控","值得打样"))))</x:f>
      </x:c>
      <x:c r="X26" s="55" t="str">
        <x:f>IF(A26="","",IF(E26="",0,LEN(E26)-LEN(SUBSTITUTE(E26,"；",""))+1))</x:f>
      </x:c>
      <x:c r="Y26" s="55" t="str">
        <x:f>IF(A26="","",COUNTIF(J26:O26,"待验证"))</x:f>
      </x:c>
      <x:c r="Z26" s="55" t="str">
        <x:f>IF(A26="","",COUNTIF(J26:O26,"不通过"))</x:f>
      </x:c>
    </x:row>
    <x:row r="27">
      <x:c r="A27" s="42"/>
      <x:c r="B27" s="42"/>
      <x:c r="C27" s="42"/>
      <x:c r="D27" s="42"/>
      <x:c r="E27" s="42"/>
      <x:c r="F27" s="91"/>
      <x:c r="G27" s="9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55" t="str">
        <x:f>IF(A27="","",IF(COUNTIF(J27:O27,"不通过")&gt;0,"淘汰",IF(COUNTIF(J27:O27,"待验证")&gt;0,"优先补数据",IF(COUNTIF(J27:O27,"部分验证")&gt;0,"监控","值得打样"))))</x:f>
      </x:c>
      <x:c r="X27" s="55" t="str">
        <x:f>IF(A27="","",IF(E27="",0,LEN(E27)-LEN(SUBSTITUTE(E27,"；",""))+1))</x:f>
      </x:c>
      <x:c r="Y27" s="55" t="str">
        <x:f>IF(A27="","",COUNTIF(J27:O27,"待验证"))</x:f>
      </x:c>
      <x:c r="Z27" s="55" t="str">
        <x:f>IF(A27="","",COUNTIF(J27:O27,"不通过"))</x:f>
      </x:c>
    </x:row>
    <x:row r="28">
      <x:c r="A28" s="42"/>
      <x:c r="B28" s="42"/>
      <x:c r="C28" s="42"/>
      <x:c r="D28" s="42"/>
      <x:c r="E28" s="42"/>
      <x:c r="F28" s="91"/>
      <x:c r="G28" s="9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55" t="str">
        <x:f>IF(A28="","",IF(COUNTIF(J28:O28,"不通过")&gt;0,"淘汰",IF(COUNTIF(J28:O28,"待验证")&gt;0,"优先补数据",IF(COUNTIF(J28:O28,"部分验证")&gt;0,"监控","值得打样"))))</x:f>
      </x:c>
      <x:c r="X28" s="55" t="str">
        <x:f>IF(A28="","",IF(E28="",0,LEN(E28)-LEN(SUBSTITUTE(E28,"；",""))+1))</x:f>
      </x:c>
      <x:c r="Y28" s="55" t="str">
        <x:f>IF(A28="","",COUNTIF(J28:O28,"待验证"))</x:f>
      </x:c>
      <x:c r="Z28" s="55" t="str">
        <x:f>IF(A28="","",COUNTIF(J28:O28,"不通过"))</x:f>
      </x:c>
    </x:row>
    <x:row r="29">
      <x:c r="A29" s="42"/>
      <x:c r="B29" s="42"/>
      <x:c r="C29" s="42"/>
      <x:c r="D29" s="42"/>
      <x:c r="E29" s="42"/>
      <x:c r="F29" s="91"/>
      <x:c r="G29" s="9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55" t="str">
        <x:f>IF(A29="","",IF(COUNTIF(J29:O29,"不通过")&gt;0,"淘汰",IF(COUNTIF(J29:O29,"待验证")&gt;0,"优先补数据",IF(COUNTIF(J29:O29,"部分验证")&gt;0,"监控","值得打样"))))</x:f>
      </x:c>
      <x:c r="X29" s="55" t="str">
        <x:f>IF(A29="","",IF(E29="",0,LEN(E29)-LEN(SUBSTITUTE(E29,"；",""))+1))</x:f>
      </x:c>
      <x:c r="Y29" s="55" t="str">
        <x:f>IF(A29="","",COUNTIF(J29:O29,"待验证"))</x:f>
      </x:c>
      <x:c r="Z29" s="55" t="str">
        <x:f>IF(A29="","",COUNTIF(J29:O29,"不通过"))</x:f>
      </x:c>
    </x:row>
    <x:row r="30">
      <x:c r="A30" s="42"/>
      <x:c r="B30" s="42"/>
      <x:c r="C30" s="42"/>
      <x:c r="D30" s="42"/>
      <x:c r="E30" s="42"/>
      <x:c r="F30" s="91"/>
      <x:c r="G30" s="9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55" t="str">
        <x:f>IF(A30="","",IF(COUNTIF(J30:O30,"不通过")&gt;0,"淘汰",IF(COUNTIF(J30:O30,"待验证")&gt;0,"优先补数据",IF(COUNTIF(J30:O30,"部分验证")&gt;0,"监控","值得打样"))))</x:f>
      </x:c>
      <x:c r="X30" s="55" t="str">
        <x:f>IF(A30="","",IF(E30="",0,LEN(E30)-LEN(SUBSTITUTE(E30,"；",""))+1))</x:f>
      </x:c>
      <x:c r="Y30" s="55" t="str">
        <x:f>IF(A30="","",COUNTIF(J30:O30,"待验证"))</x:f>
      </x:c>
      <x:c r="Z30" s="55" t="str">
        <x:f>IF(A30="","",COUNTIF(J30:O30,"不通过"))</x:f>
      </x:c>
    </x:row>
    <x:row r="31">
      <x:c r="A31" s="42"/>
      <x:c r="B31" s="42"/>
      <x:c r="C31" s="42"/>
      <x:c r="D31" s="42"/>
      <x:c r="E31" s="42"/>
      <x:c r="F31" s="91"/>
      <x:c r="G31" s="9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55" t="str">
        <x:f>IF(A31="","",IF(COUNTIF(J31:O31,"不通过")&gt;0,"淘汰",IF(COUNTIF(J31:O31,"待验证")&gt;0,"优先补数据",IF(COUNTIF(J31:O31,"部分验证")&gt;0,"监控","值得打样"))))</x:f>
      </x:c>
      <x:c r="X31" s="55" t="str">
        <x:f>IF(A31="","",IF(E31="",0,LEN(E31)-LEN(SUBSTITUTE(E31,"；",""))+1))</x:f>
      </x:c>
      <x:c r="Y31" s="55" t="str">
        <x:f>IF(A31="","",COUNTIF(J31:O31,"待验证"))</x:f>
      </x:c>
      <x:c r="Z31" s="55" t="str">
        <x:f>IF(A31="","",COUNTIF(J31:O31,"不通过"))</x:f>
      </x:c>
    </x:row>
    <x:row r="32">
      <x:c r="A32" s="43"/>
      <x:c r="B32" s="43"/>
      <x:c r="C32" s="43"/>
      <x:c r="D32" s="43"/>
      <x:c r="E32" s="43"/>
      <x:c r="F32" s="93"/>
      <x:c r="G32" s="94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56" t="str">
        <x:f>IF(A32="","",IF(COUNTIF(J32:O32,"不通过")&gt;0,"淘汰",IF(COUNTIF(J32:O32,"待验证")&gt;0,"优先补数据",IF(COUNTIF(J32:O32,"部分验证")&gt;0,"监控","值得打样"))))</x:f>
      </x:c>
      <x:c r="X32" s="56" t="str">
        <x:f>IF(A32="","",IF(E32="",0,LEN(E32)-LEN(SUBSTITUTE(E32,"；",""))+1))</x:f>
      </x:c>
      <x:c r="Y32" s="56" t="str">
        <x:f>IF(A32="","",COUNTIF(J32:O32,"待验证"))</x:f>
      </x:c>
      <x:c r="Z32" s="56" t="str">
        <x:f>IF(A32="","",COUNTIF(J32:O32,"不通过"))</x:f>
      </x:c>
    </x:row>
  </x:sheetData>
  <x:mergeCells>
    <x:mergeCell ref="A1:Z1"/>
  </x:mergeCells>
  <x:conditionalFormatting sqref="J3:J32">
    <x:cfRule type="containsText" dxfId="2" priority="1" operator="containsText" text="不通过"/>
    <x:cfRule type="containsText" dxfId="3" priority="2" operator="containsText" text="待验证"/>
    <x:cfRule type="containsText" dxfId="4" priority="3" operator="containsText" text="通过"/>
  </x:conditionalFormatting>
  <x:conditionalFormatting sqref="K3:K32">
    <x:cfRule type="containsText" dxfId="5" priority="4" operator="containsText" text="不通过"/>
    <x:cfRule type="containsText" dxfId="6" priority="5" operator="containsText" text="待验证"/>
    <x:cfRule type="containsText" dxfId="7" priority="6" operator="containsText" text="通过"/>
  </x:conditionalFormatting>
  <x:conditionalFormatting sqref="L3:L32">
    <x:cfRule type="containsText" dxfId="8" priority="7" operator="containsText" text="不通过"/>
    <x:cfRule type="containsText" dxfId="9" priority="8" operator="containsText" text="待验证"/>
    <x:cfRule type="containsText" dxfId="10" priority="9" operator="containsText" text="通过"/>
  </x:conditionalFormatting>
  <x:conditionalFormatting sqref="M3:M32">
    <x:cfRule type="containsText" dxfId="11" priority="10" operator="containsText" text="不通过"/>
    <x:cfRule type="containsText" dxfId="12" priority="11" operator="containsText" text="待验证"/>
    <x:cfRule type="containsText" dxfId="13" priority="12" operator="containsText" text="通过"/>
  </x:conditionalFormatting>
  <x:conditionalFormatting sqref="N3:N32">
    <x:cfRule type="containsText" dxfId="14" priority="13" operator="containsText" text="不通过"/>
    <x:cfRule type="containsText" dxfId="15" priority="14" operator="containsText" text="待验证"/>
    <x:cfRule type="containsText" dxfId="16" priority="15" operator="containsText" text="通过"/>
  </x:conditionalFormatting>
  <x:conditionalFormatting sqref="O3:O32">
    <x:cfRule type="containsText" dxfId="17" priority="16" operator="containsText" text="不通过"/>
    <x:cfRule type="containsText" dxfId="18" priority="17" operator="containsText" text="待验证"/>
    <x:cfRule type="containsText" dxfId="19" priority="18" operator="containsText" text="通过"/>
  </x:conditionalFormatting>
  <x:conditionalFormatting sqref="W3:W32">
    <x:cfRule type="containsText" dxfId="20" priority="19" operator="containsText" text="不通过"/>
    <x:cfRule type="containsText" dxfId="21" priority="20" operator="containsText" text="待验证"/>
    <x:cfRule type="containsText" dxfId="22" priority="21" operator="containsText" text="通过"/>
  </x:conditionalFormatting>
  <x:dataValidations count="3">
    <x:dataValidation type="list" sqref="J3:O32">
      <x:formula1>"通过,部分验证,待验证,不通过"</x:formula1>
    </x:dataValidation>
    <x:dataValidation type="list" sqref="D3:D32">
      <x:formula1>"稳健,趋势,长尾,监控,淘汰"</x:formula1>
    </x:dataValidation>
    <x:dataValidation type="list" sqref="V3:V32">
      <x:formula1>"高,中,低"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1" customHeight="1">
      <x:c r="A1" s="4" t="str">
        <x:v>淘汰清单｜防止重复研究</x:v>
      </x:c>
      <x:c r="B1" s="4"/>
      <x:c r="C1" s="4"/>
      <x:c r="D1" s="4"/>
      <x:c r="E1" s="4"/>
      <x:c r="F1" s="4"/>
      <x:c r="G1" s="4"/>
      <x:c r="H1" s="4"/>
    </x:row>
    <x:row r="2" ht="30" customHeight="1">
      <x:c r="A2" s="38" t="str">
        <x:v>candidate_id</x:v>
      </x:c>
      <x:c r="B2" s="39" t="str">
        <x:v>产品</x:v>
      </x:c>
      <x:c r="C2" s="39" t="str">
        <x:v>致命项</x:v>
      </x:c>
      <x:c r="D2" s="39" t="str">
        <x:v>证据</x:v>
      </x:c>
      <x:c r="E2" s="39" t="str">
        <x:v>证据日期</x:v>
      </x:c>
      <x:c r="F2" s="39" t="str">
        <x:v>允许重开条件</x:v>
      </x:c>
      <x:c r="G2" s="39" t="str">
        <x:v>来源</x:v>
      </x:c>
      <x:c r="H2" s="40" t="str">
        <x:v>备注</x:v>
      </x:c>
    </x:row>
    <x:row r="3">
      <x:c r="A3" s="41"/>
      <x:c r="B3" s="41"/>
      <x:c r="C3" s="41"/>
      <x:c r="D3" s="41"/>
      <x:c r="E3" s="41"/>
      <x:c r="F3" s="41"/>
      <x:c r="G3" s="41"/>
      <x:c r="H3" s="41"/>
    </x:row>
    <x:row r="4">
      <x:c r="A4" s="42"/>
      <x:c r="B4" s="42"/>
      <x:c r="C4" s="42"/>
      <x:c r="D4" s="42"/>
      <x:c r="E4" s="42"/>
      <x:c r="F4" s="42"/>
      <x:c r="G4" s="42"/>
      <x:c r="H4" s="42"/>
    </x:row>
    <x:row r="5">
      <x:c r="A5" s="42"/>
      <x:c r="B5" s="42"/>
      <x:c r="C5" s="42"/>
      <x:c r="D5" s="42"/>
      <x:c r="E5" s="42"/>
      <x:c r="F5" s="42"/>
      <x:c r="G5" s="42"/>
      <x:c r="H5" s="42"/>
    </x:row>
    <x:row r="6">
      <x:c r="A6" s="42"/>
      <x:c r="B6" s="42"/>
      <x:c r="C6" s="42"/>
      <x:c r="D6" s="42"/>
      <x:c r="E6" s="42"/>
      <x:c r="F6" s="42"/>
      <x:c r="G6" s="42"/>
      <x:c r="H6" s="42"/>
    </x:row>
    <x:row r="7">
      <x:c r="A7" s="42"/>
      <x:c r="B7" s="42"/>
      <x:c r="C7" s="42"/>
      <x:c r="D7" s="42"/>
      <x:c r="E7" s="42"/>
      <x:c r="F7" s="42"/>
      <x:c r="G7" s="42"/>
      <x:c r="H7" s="42"/>
    </x:row>
    <x:row r="8">
      <x:c r="A8" s="42"/>
      <x:c r="B8" s="42"/>
      <x:c r="C8" s="42"/>
      <x:c r="D8" s="42"/>
      <x:c r="E8" s="42"/>
      <x:c r="F8" s="42"/>
      <x:c r="G8" s="42"/>
      <x:c r="H8" s="42"/>
    </x:row>
    <x:row r="9">
      <x:c r="A9" s="42"/>
      <x:c r="B9" s="42"/>
      <x:c r="C9" s="42"/>
      <x:c r="D9" s="42"/>
      <x:c r="E9" s="42"/>
      <x:c r="F9" s="42"/>
      <x:c r="G9" s="42"/>
      <x:c r="H9" s="42"/>
    </x:row>
    <x:row r="10">
      <x:c r="A10" s="42"/>
      <x:c r="B10" s="42"/>
      <x:c r="C10" s="42"/>
      <x:c r="D10" s="42"/>
      <x:c r="E10" s="42"/>
      <x:c r="F10" s="42"/>
      <x:c r="G10" s="42"/>
      <x:c r="H10" s="42"/>
    </x:row>
    <x:row r="11">
      <x:c r="A11" s="42"/>
      <x:c r="B11" s="42"/>
      <x:c r="C11" s="42"/>
      <x:c r="D11" s="42"/>
      <x:c r="E11" s="42"/>
      <x:c r="F11" s="42"/>
      <x:c r="G11" s="42"/>
      <x:c r="H11" s="42"/>
    </x:row>
    <x:row r="12">
      <x:c r="A12" s="42"/>
      <x:c r="B12" s="42"/>
      <x:c r="C12" s="42"/>
      <x:c r="D12" s="42"/>
      <x:c r="E12" s="42"/>
      <x:c r="F12" s="42"/>
      <x:c r="G12" s="42"/>
      <x:c r="H12" s="42"/>
    </x:row>
    <x:row r="13">
      <x:c r="A13" s="42"/>
      <x:c r="B13" s="42"/>
      <x:c r="C13" s="42"/>
      <x:c r="D13" s="42"/>
      <x:c r="E13" s="42"/>
      <x:c r="F13" s="42"/>
      <x:c r="G13" s="42"/>
      <x:c r="H13" s="42"/>
    </x:row>
    <x:row r="14">
      <x:c r="A14" s="42"/>
      <x:c r="B14" s="42"/>
      <x:c r="C14" s="42"/>
      <x:c r="D14" s="42"/>
      <x:c r="E14" s="42"/>
      <x:c r="F14" s="42"/>
      <x:c r="G14" s="42"/>
      <x:c r="H14" s="42"/>
    </x:row>
    <x:row r="15">
      <x:c r="A15" s="42"/>
      <x:c r="B15" s="42"/>
      <x:c r="C15" s="42"/>
      <x:c r="D15" s="42"/>
      <x:c r="E15" s="42"/>
      <x:c r="F15" s="42"/>
      <x:c r="G15" s="42"/>
      <x:c r="H15" s="42"/>
    </x:row>
    <x:row r="16">
      <x:c r="A16" s="42"/>
      <x:c r="B16" s="42"/>
      <x:c r="C16" s="42"/>
      <x:c r="D16" s="42"/>
      <x:c r="E16" s="42"/>
      <x:c r="F16" s="42"/>
      <x:c r="G16" s="42"/>
      <x:c r="H16" s="42"/>
    </x:row>
    <x:row r="17">
      <x:c r="A17" s="42"/>
      <x:c r="B17" s="42"/>
      <x:c r="C17" s="42"/>
      <x:c r="D17" s="42"/>
      <x:c r="E17" s="42"/>
      <x:c r="F17" s="42"/>
      <x:c r="G17" s="42"/>
      <x:c r="H17" s="42"/>
    </x:row>
    <x:row r="18">
      <x:c r="A18" s="42"/>
      <x:c r="B18" s="42"/>
      <x:c r="C18" s="42"/>
      <x:c r="D18" s="42"/>
      <x:c r="E18" s="42"/>
      <x:c r="F18" s="42"/>
      <x:c r="G18" s="42"/>
      <x:c r="H18" s="42"/>
    </x:row>
    <x:row r="19">
      <x:c r="A19" s="42"/>
      <x:c r="B19" s="42"/>
      <x:c r="C19" s="42"/>
      <x:c r="D19" s="42"/>
      <x:c r="E19" s="42"/>
      <x:c r="F19" s="42"/>
      <x:c r="G19" s="42"/>
      <x:c r="H19" s="42"/>
    </x:row>
    <x:row r="20">
      <x:c r="A20" s="42"/>
      <x:c r="B20" s="42"/>
      <x:c r="C20" s="42"/>
      <x:c r="D20" s="42"/>
      <x:c r="E20" s="42"/>
      <x:c r="F20" s="42"/>
      <x:c r="G20" s="42"/>
      <x:c r="H20" s="42"/>
    </x:row>
    <x:row r="21">
      <x:c r="A21" s="42"/>
      <x:c r="B21" s="42"/>
      <x:c r="C21" s="42"/>
      <x:c r="D21" s="42"/>
      <x:c r="E21" s="42"/>
      <x:c r="F21" s="42"/>
      <x:c r="G21" s="42"/>
      <x:c r="H21" s="42"/>
    </x:row>
    <x:row r="22">
      <x:c r="A22" s="43"/>
      <x:c r="B22" s="43"/>
      <x:c r="C22" s="43"/>
      <x:c r="D22" s="43"/>
      <x:c r="E22" s="43"/>
      <x:c r="F22" s="43"/>
      <x:c r="G22" s="43"/>
      <x:c r="H22" s="43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28" hidden="0" customWidth="1"/>
  </x:cols>
  <x:sheetData>
    <x:row r="1" ht="31" customHeight="1">
      <x:c r="A1" s="4" t="str">
        <x:v>女包结构与关键词字典（节选）</x:v>
      </x:c>
      <x:c r="B1" s="4"/>
      <x:c r="C1" s="4"/>
      <x:c r="D1" s="4"/>
    </x:row>
    <x:row r="2" ht="30" customHeight="1">
      <x:c r="A2" s="38" t="str">
        <x:v>维度</x:v>
      </x:c>
      <x:c r="B2" s="39" t="str">
        <x:v>标准值</x:v>
      </x:c>
      <x:c r="C2" s="39" t="str">
        <x:v>英文别名</x:v>
      </x:c>
      <x:c r="D2" s="40" t="str">
        <x:v>中文说明</x:v>
      </x:c>
    </x:row>
    <x:row r="3">
      <x:c r="A3" s="22" t="str">
        <x:v>包型</x:v>
      </x:c>
      <x:c r="B3" s="22" t="str">
        <x:v>hobo</x:v>
      </x:c>
      <x:c r="C3" s="22" t="str">
        <x:v>hobo; slouchy; crescent</x:v>
      </x:c>
      <x:c r="D3" s="22" t="str">
        <x:v>Hobo/腋下/月牙</x:v>
      </x:c>
    </x:row>
    <x:row r="4">
      <x:c r="A4" s="24" t="str">
        <x:v>包型</x:v>
      </x:c>
      <x:c r="B4" s="24" t="str">
        <x:v>ita</x:v>
      </x:c>
      <x:c r="C4" s="24" t="str">
        <x:v>ita bag; pin display bag</x:v>
      </x:c>
      <x:c r="D4" s="24" t="str">
        <x:v>痛包/展示包</x:v>
      </x:c>
    </x:row>
    <x:row r="5">
      <x:c r="A5" s="24" t="str">
        <x:v>包型</x:v>
      </x:c>
      <x:c r="B5" s="24" t="str">
        <x:v>bowler</x:v>
      </x:c>
      <x:c r="C5" s="24" t="str">
        <x:v>bowler; barrel bag</x:v>
      </x:c>
      <x:c r="D5" s="24" t="str">
        <x:v>Bowler/圆筒</x:v>
      </x:c>
    </x:row>
    <x:row r="6">
      <x:c r="A6" s="24" t="str">
        <x:v>包型</x:v>
      </x:c>
      <x:c r="B6" s="24" t="str">
        <x:v>clutch</x:v>
      </x:c>
      <x:c r="C6" s="24" t="str">
        <x:v>clutch; evening bag</x:v>
      </x:c>
      <x:c r="D6" s="24" t="str">
        <x:v>手拿/晚宴</x:v>
      </x:c>
    </x:row>
    <x:row r="7">
      <x:c r="A7" s="24" t="str">
        <x:v>材质</x:v>
      </x:c>
      <x:c r="B7" s="24" t="str">
        <x:v>denim</x:v>
      </x:c>
      <x:c r="C7" s="24" t="str">
        <x:v>denim; jean</x:v>
      </x:c>
      <x:c r="D7" s="24" t="str">
        <x:v>牛仔</x:v>
      </x:c>
    </x:row>
    <x:row r="8">
      <x:c r="A8" s="24" t="str">
        <x:v>材质</x:v>
      </x:c>
      <x:c r="B8" s="24" t="str">
        <x:v>canvas</x:v>
      </x:c>
      <x:c r="C8" s="24" t="str">
        <x:v>canvas</x:v>
      </x:c>
      <x:c r="D8" s="24" t="str">
        <x:v>帆布</x:v>
      </x:c>
    </x:row>
    <x:row r="9">
      <x:c r="A9" s="24" t="str">
        <x:v>材质</x:v>
      </x:c>
      <x:c r="B9" s="24" t="str">
        <x:v>nylon</x:v>
      </x:c>
      <x:c r="C9" s="24" t="str">
        <x:v>nylon</x:v>
      </x:c>
      <x:c r="D9" s="24" t="str">
        <x:v>尼龙</x:v>
      </x:c>
    </x:row>
    <x:row r="10">
      <x:c r="A10" s="24" t="str">
        <x:v>功能</x:v>
      </x:c>
      <x:c r="B10" s="24" t="str">
        <x:v>display_window</x:v>
      </x:c>
      <x:c r="C10" s="24" t="str">
        <x:v>display window; clear pocket</x:v>
      </x:c>
      <x:c r="D10" s="24" t="str">
        <x:v>展示窗</x:v>
      </x:c>
    </x:row>
    <x:row r="11">
      <x:c r="A11" s="24" t="str">
        <x:v>功能</x:v>
      </x:c>
      <x:c r="B11" s="24" t="str">
        <x:v>removable_insert</x:v>
      </x:c>
      <x:c r="C11" s="24" t="str">
        <x:v>removable insert; insert board</x:v>
      </x:c>
      <x:c r="D11" s="24" t="str">
        <x:v>可拆插板</x:v>
      </x:c>
    </x:row>
    <x:row r="12">
      <x:c r="A12" s="24" t="str">
        <x:v>功能</x:v>
      </x:c>
      <x:c r="B12" s="24" t="str">
        <x:v>multi_pocket</x:v>
      </x:c>
      <x:c r="C12" s="24" t="str">
        <x:v>multi pocket; multiple pockets</x:v>
      </x:c>
      <x:c r="D12" s="24" t="str">
        <x:v>多口袋</x:v>
      </x:c>
    </x:row>
    <x:row r="13">
      <x:c r="A13" s="24" t="str">
        <x:v>场景</x:v>
      </x:c>
      <x:c r="B13" s="24" t="str">
        <x:v>everyday</x:v>
      </x:c>
      <x:c r="C13" s="24" t="str">
        <x:v>everyday; daily</x:v>
      </x:c>
      <x:c r="D13" s="24" t="str">
        <x:v>日常</x:v>
      </x:c>
    </x:row>
    <x:row r="14">
      <x:c r="A14" s="24" t="str">
        <x:v>场景</x:v>
      </x:c>
      <x:c r="B14" s="24" t="str">
        <x:v>convention</x:v>
      </x:c>
      <x:c r="C14" s="24" t="str">
        <x:v>convention; anime expo</x:v>
      </x:c>
      <x:c r="D14" s="24" t="str">
        <x:v>漫展</x:v>
      </x:c>
    </x:row>
    <x:row r="15">
      <x:c r="A15" s="24" t="str">
        <x:v>风格</x:v>
      </x:c>
      <x:c r="B15" s="24" t="str">
        <x:v>cottagecore</x:v>
      </x:c>
      <x:c r="C15" s="24" t="str">
        <x:v>cottagecore</x:v>
      </x:c>
      <x:c r="D15" s="24" t="str">
        <x:v>田园</x:v>
      </x:c>
    </x:row>
    <x:row r="16">
      <x:c r="A16" s="24" t="str">
        <x:v>风格</x:v>
      </x:c>
      <x:c r="B16" s="24" t="str">
        <x:v>coquette</x:v>
      </x:c>
      <x:c r="C16" s="24" t="str">
        <x:v>coquette; bow; lace</x:v>
      </x:c>
      <x:c r="D16" s="24" t="str">
        <x:v>蝴蝶结/蕾丝</x:v>
      </x:c>
    </x:row>
    <x:row r="17">
      <x:c r="A17" s="26" t="str">
        <x:v>风格</x:v>
      </x:c>
      <x:c r="B17" s="26" t="str">
        <x:v>y2k</x:v>
      </x:c>
      <x:c r="C17" s="26" t="str">
        <x:v>y2k; gyaru; whimsy</x:v>
      </x:c>
      <x:c r="D17" s="26" t="str">
        <x:v>Y2K</x:v>
      </x:c>
    </x:row>
  </x:sheetData>
  <x:mergeCells>
    <x:mergeCell ref="A1:D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1" customHeight="1">
      <x:c r="A1" s="4" t="str">
        <x:v>测品与退出规则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38" t="str">
        <x:v>candidate_id</x:v>
      </x:c>
      <x:c r="B2" s="39" t="str">
        <x:v>经营池</x:v>
      </x:c>
      <x:c r="C2" s="39" t="str">
        <x:v>首批量</x:v>
      </x:c>
      <x:c r="D2" s="39" t="str">
        <x:v>最大损失</x:v>
      </x:c>
      <x:c r="E2" s="39" t="str">
        <x:v>观察起点</x:v>
      </x:c>
      <x:c r="F2" s="39" t="str">
        <x:v>通过条件</x:v>
      </x:c>
      <x:c r="G2" s="39" t="str">
        <x:v>停补条件</x:v>
      </x:c>
      <x:c r="H2" s="39" t="str">
        <x:v>退出动作</x:v>
      </x:c>
      <x:c r="I2" s="40" t="str">
        <x:v>复查日期</x:v>
      </x:c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</x:row>
  </x:sheetData>
  <x:mergeCells>
    <x:mergeCell ref="A1:I1"/>
  </x:mergeCells>
  <x:dataValidations count="1">
    <x:dataValidation type="list" sqref="B3:B32">
      <x:formula1>"稳健,趋势,长尾"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55" hidden="0" customWidth="1"/>
    <x:col min="4" max="4" width="55" hidden="0" customWidth="1"/>
  </x:cols>
  <x:sheetData>
    <x:row r="1" ht="31" customHeight="1">
      <x:c r="A1" s="4" t="str">
        <x:v>安全边界｜永久禁令</x:v>
      </x:c>
      <x:c r="B1" s="4"/>
      <x:c r="C1" s="4"/>
      <x:c r="D1" s="4"/>
    </x:row>
    <x:row r="2" ht="30" customHeight="1">
      <x:c r="A2" s="38" t="str">
        <x:v>规则</x:v>
      </x:c>
      <x:c r="B2" s="39" t="str">
        <x:v>是否允许</x:v>
      </x:c>
      <x:c r="C2" s="39" t="str">
        <x:v>执行方式</x:v>
      </x:c>
      <x:c r="D2" s="40" t="str">
        <x:v>原因</x:v>
      </x:c>
    </x:row>
    <x:row r="3">
      <x:c r="A3" s="22" t="str">
        <x:v>登录或操作Amazon卖家后台</x:v>
      </x:c>
      <x:c r="B3" s="95" t="str">
        <x:v>严禁</x:v>
      </x:c>
      <x:c r="C3" s="22" t="str">
        <x:v>不打开、不登录、不读取在线会话</x:v>
      </x:c>
      <x:c r="D3" s="22" t="str">
        <x:v>避免账号关联和越权操作</x:v>
      </x:c>
    </x:row>
    <x:row r="4">
      <x:c r="A4" s="24" t="str">
        <x:v>在用户浏览器登录/使用Amazon前台买家账号</x:v>
      </x:c>
      <x:c r="B4" s="96" t="str">
        <x:v>严禁</x:v>
      </x:c>
      <x:c r="C4" s="24" t="str">
        <x:v>不使用Chrome或内置浏览器访问已登录Amazon</x:v>
      </x:c>
      <x:c r="D4" s="24" t="str">
        <x:v>避免买卖家账号关联</x:v>
      </x:c>
    </x:row>
    <x:row r="5">
      <x:c r="A5" s="24" t="str">
        <x:v>运行依赖Amazon浏览器会话的爬虫</x:v>
      </x:c>
      <x:c r="B5" s="96" t="str">
        <x:v>严禁</x:v>
      </x:c>
      <x:c r="C5" s="24" t="str">
        <x:v>不运行</x:v>
      </x:c>
      <x:c r="D5" s="24" t="str">
        <x:v>可能携带用户登录态</x:v>
      </x:c>
    </x:row>
    <x:row r="6">
      <x:c r="A6" s="24" t="str">
        <x:v>用户主动导出的离线报表</x:v>
      </x:c>
      <x:c r="B6" s="97" t="str">
        <x:v>允许</x:v>
      </x:c>
      <x:c r="C6" s="24" t="str">
        <x:v>只读分析并记录文件路径和日期</x:v>
      </x:c>
      <x:c r="D6" s="24" t="str">
        <x:v>不触碰账号会话</x:v>
      </x:c>
    </x:row>
    <x:row r="7">
      <x:c r="A7" s="24" t="str">
        <x:v>不携带用户Amazon登录态的公开第三方资料</x:v>
      </x:c>
      <x:c r="B7" s="97" t="str">
        <x:v>允许</x:v>
      </x:c>
      <x:c r="C7" s="24" t="str">
        <x:v>保存公开链接、日期和局限</x:v>
      </x:c>
      <x:c r="D7" s="24" t="str">
        <x:v>用于辅助验证</x:v>
      </x:c>
    </x:row>
    <x:row r="8">
      <x:c r="A8" s="26" t="str">
        <x:v>采购、上架、投广告、发货</x:v>
      </x:c>
      <x:c r="B8" s="98" t="str">
        <x:v>本阶段严禁</x:v>
      </x:c>
      <x:c r="C8" s="26" t="str">
        <x:v>仅输出建议</x:v>
      </x:c>
      <x:c r="D8" s="26" t="str">
        <x:v>用户尚未授权执行</x:v>
      </x:c>
    </x:row>
  </x:sheetData>
  <x:mergeCells>
    <x:mergeCell ref="A1:D1"/>
  </x:mergeCells>
  <x:pageMargins left="0.7" right="0.7" top="0.75" bottom="0.75" header="0.3" footer="0.3"/>
</x:worksheet>
</file>